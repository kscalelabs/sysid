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Documents/kscale/sysid/feetech/sts3250/"/>
    </mc:Choice>
  </mc:AlternateContent>
  <xr:revisionPtr revIDLastSave="0" documentId="13_ncr:1_{946AA4FA-6DA7-A24C-88CD-56368CEF3A8E}" xr6:coauthVersionLast="47" xr6:coauthVersionMax="47" xr10:uidLastSave="{00000000-0000-0000-0000-000000000000}"/>
  <bookViews>
    <workbookView xWindow="0" yWindow="760" windowWidth="34560" windowHeight="20040" xr2:uid="{DEF08E6D-5D1B-F64A-AE2D-06DDC2244AAB}"/>
  </bookViews>
  <sheets>
    <sheet name="Motor Characterization" sheetId="1" r:id="rId1"/>
    <sheet name="Dataset Inspection Pendulum BAM" sheetId="2" r:id="rId2"/>
    <sheet name="Dataset No Interpo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5" i="1" l="1"/>
  <c r="E145" i="1" s="1"/>
  <c r="G145" i="1" s="1"/>
  <c r="E141" i="1"/>
  <c r="G141" i="1" s="1"/>
  <c r="D48" i="1"/>
  <c r="E48" i="1" s="1"/>
  <c r="G48" i="1" s="1"/>
  <c r="D49" i="1"/>
  <c r="E49" i="1" s="1"/>
  <c r="G49" i="1" s="1"/>
  <c r="D50" i="1"/>
  <c r="E50" i="1" s="1"/>
  <c r="G50" i="1" s="1"/>
  <c r="D51" i="1"/>
  <c r="E51" i="1" s="1"/>
  <c r="G51" i="1" s="1"/>
  <c r="D52" i="1"/>
  <c r="E52" i="1" s="1"/>
  <c r="G52" i="1" s="1"/>
  <c r="D53" i="1"/>
  <c r="E53" i="1" s="1"/>
  <c r="G53" i="1" s="1"/>
  <c r="D54" i="1"/>
  <c r="E54" i="1" s="1"/>
  <c r="G54" i="1" s="1"/>
  <c r="D55" i="1"/>
  <c r="E55" i="1" s="1"/>
  <c r="G55" i="1" s="1"/>
  <c r="D56" i="1"/>
  <c r="E56" i="1" s="1"/>
  <c r="G56" i="1" s="1"/>
  <c r="D57" i="1"/>
  <c r="E57" i="1" s="1"/>
  <c r="G57" i="1" s="1"/>
  <c r="D58" i="1"/>
  <c r="E58" i="1" s="1"/>
  <c r="G58" i="1" s="1"/>
  <c r="D59" i="1"/>
  <c r="E59" i="1" s="1"/>
  <c r="G59" i="1" s="1"/>
  <c r="D60" i="1"/>
  <c r="E60" i="1" s="1"/>
  <c r="G60" i="1" s="1"/>
  <c r="D61" i="1"/>
  <c r="E61" i="1" s="1"/>
  <c r="G61" i="1" s="1"/>
  <c r="D62" i="1"/>
  <c r="E62" i="1" s="1"/>
  <c r="G62" i="1" s="1"/>
  <c r="D63" i="1"/>
  <c r="E63" i="1" s="1"/>
  <c r="G63" i="1" s="1"/>
  <c r="D64" i="1"/>
  <c r="E64" i="1" s="1"/>
  <c r="G64" i="1" s="1"/>
  <c r="D65" i="1"/>
  <c r="E65" i="1" s="1"/>
  <c r="G65" i="1" s="1"/>
  <c r="D66" i="1"/>
  <c r="E66" i="1" s="1"/>
  <c r="G66" i="1" s="1"/>
  <c r="D67" i="1"/>
  <c r="E67" i="1" s="1"/>
  <c r="G67" i="1" s="1"/>
  <c r="D68" i="1"/>
  <c r="E68" i="1" s="1"/>
  <c r="G68" i="1" s="1"/>
  <c r="D69" i="1"/>
  <c r="E69" i="1" s="1"/>
  <c r="G69" i="1" s="1"/>
  <c r="D70" i="1"/>
  <c r="E70" i="1" s="1"/>
  <c r="G70" i="1" s="1"/>
  <c r="D71" i="1"/>
  <c r="E71" i="1" s="1"/>
  <c r="G71" i="1" s="1"/>
  <c r="D72" i="1"/>
  <c r="E72" i="1" s="1"/>
  <c r="G72" i="1" s="1"/>
  <c r="D73" i="1"/>
  <c r="E73" i="1" s="1"/>
  <c r="G73" i="1" s="1"/>
  <c r="D74" i="1"/>
  <c r="E74" i="1" s="1"/>
  <c r="G74" i="1" s="1"/>
  <c r="D75" i="1"/>
  <c r="E75" i="1" s="1"/>
  <c r="G75" i="1" s="1"/>
  <c r="D76" i="1"/>
  <c r="E76" i="1" s="1"/>
  <c r="G76" i="1" s="1"/>
  <c r="D77" i="1"/>
  <c r="E77" i="1" s="1"/>
  <c r="G77" i="1" s="1"/>
  <c r="D78" i="1"/>
  <c r="E78" i="1" s="1"/>
  <c r="G78" i="1" s="1"/>
  <c r="D79" i="1"/>
  <c r="E79" i="1" s="1"/>
  <c r="G79" i="1" s="1"/>
  <c r="D80" i="1"/>
  <c r="E80" i="1" s="1"/>
  <c r="G80" i="1" s="1"/>
  <c r="D81" i="1"/>
  <c r="E81" i="1" s="1"/>
  <c r="G81" i="1" s="1"/>
  <c r="D82" i="1"/>
  <c r="E82" i="1" s="1"/>
  <c r="G82" i="1" s="1"/>
  <c r="D83" i="1"/>
  <c r="E83" i="1" s="1"/>
  <c r="G83" i="1" s="1"/>
  <c r="D84" i="1"/>
  <c r="E84" i="1" s="1"/>
  <c r="G84" i="1" s="1"/>
  <c r="D85" i="1"/>
  <c r="E85" i="1" s="1"/>
  <c r="G85" i="1" s="1"/>
  <c r="D86" i="1"/>
  <c r="E86" i="1" s="1"/>
  <c r="G86" i="1" s="1"/>
  <c r="D87" i="1"/>
  <c r="E87" i="1" s="1"/>
  <c r="G87" i="1" s="1"/>
  <c r="D88" i="1"/>
  <c r="E88" i="1" s="1"/>
  <c r="G88" i="1" s="1"/>
  <c r="D89" i="1"/>
  <c r="E89" i="1" s="1"/>
  <c r="G89" i="1" s="1"/>
  <c r="D90" i="1"/>
  <c r="E90" i="1" s="1"/>
  <c r="G90" i="1" s="1"/>
  <c r="D91" i="1"/>
  <c r="E91" i="1" s="1"/>
  <c r="G91" i="1" s="1"/>
  <c r="D92" i="1"/>
  <c r="E92" i="1" s="1"/>
  <c r="G92" i="1" s="1"/>
  <c r="D93" i="1"/>
  <c r="E93" i="1" s="1"/>
  <c r="G93" i="1" s="1"/>
  <c r="D94" i="1"/>
  <c r="E94" i="1" s="1"/>
  <c r="G94" i="1" s="1"/>
  <c r="D95" i="1"/>
  <c r="E95" i="1" s="1"/>
  <c r="G95" i="1" s="1"/>
  <c r="D96" i="1"/>
  <c r="E96" i="1" s="1"/>
  <c r="G96" i="1" s="1"/>
  <c r="D97" i="1"/>
  <c r="E97" i="1" s="1"/>
  <c r="G97" i="1" s="1"/>
  <c r="D98" i="1"/>
  <c r="E98" i="1" s="1"/>
  <c r="G98" i="1" s="1"/>
  <c r="D99" i="1"/>
  <c r="E99" i="1" s="1"/>
  <c r="G99" i="1" s="1"/>
  <c r="D100" i="1"/>
  <c r="E100" i="1" s="1"/>
  <c r="G100" i="1" s="1"/>
  <c r="D101" i="1"/>
  <c r="E101" i="1" s="1"/>
  <c r="G101" i="1" s="1"/>
  <c r="D102" i="1"/>
  <c r="E102" i="1" s="1"/>
  <c r="G102" i="1" s="1"/>
  <c r="D103" i="1"/>
  <c r="E103" i="1" s="1"/>
  <c r="G103" i="1" s="1"/>
  <c r="D104" i="1"/>
  <c r="E104" i="1" s="1"/>
  <c r="G104" i="1" s="1"/>
  <c r="D105" i="1"/>
  <c r="E105" i="1" s="1"/>
  <c r="G105" i="1" s="1"/>
  <c r="D106" i="1"/>
  <c r="E106" i="1" s="1"/>
  <c r="G106" i="1" s="1"/>
  <c r="D107" i="1"/>
  <c r="E107" i="1" s="1"/>
  <c r="G107" i="1" s="1"/>
  <c r="D108" i="1"/>
  <c r="E108" i="1" s="1"/>
  <c r="G108" i="1" s="1"/>
  <c r="D109" i="1"/>
  <c r="E109" i="1" s="1"/>
  <c r="G109" i="1" s="1"/>
  <c r="D110" i="1"/>
  <c r="E110" i="1" s="1"/>
  <c r="G110" i="1" s="1"/>
  <c r="D111" i="1"/>
  <c r="E111" i="1" s="1"/>
  <c r="G111" i="1" s="1"/>
  <c r="D112" i="1"/>
  <c r="E112" i="1" s="1"/>
  <c r="G112" i="1" s="1"/>
  <c r="D113" i="1"/>
  <c r="E113" i="1" s="1"/>
  <c r="G113" i="1" s="1"/>
  <c r="D114" i="1"/>
  <c r="E114" i="1" s="1"/>
  <c r="G114" i="1" s="1"/>
  <c r="D115" i="1"/>
  <c r="E115" i="1" s="1"/>
  <c r="G115" i="1" s="1"/>
  <c r="D116" i="1"/>
  <c r="E116" i="1" s="1"/>
  <c r="G116" i="1" s="1"/>
  <c r="D117" i="1"/>
  <c r="E117" i="1" s="1"/>
  <c r="G117" i="1" s="1"/>
  <c r="D118" i="1"/>
  <c r="E118" i="1" s="1"/>
  <c r="G118" i="1" s="1"/>
  <c r="D119" i="1"/>
  <c r="E119" i="1" s="1"/>
  <c r="G119" i="1" s="1"/>
  <c r="D120" i="1"/>
  <c r="E120" i="1" s="1"/>
  <c r="G120" i="1" s="1"/>
  <c r="D121" i="1"/>
  <c r="E121" i="1" s="1"/>
  <c r="G121" i="1" s="1"/>
  <c r="D122" i="1"/>
  <c r="E122" i="1" s="1"/>
  <c r="G122" i="1" s="1"/>
  <c r="D123" i="1"/>
  <c r="E123" i="1" s="1"/>
  <c r="G123" i="1" s="1"/>
  <c r="D124" i="1"/>
  <c r="E124" i="1" s="1"/>
  <c r="G124" i="1" s="1"/>
  <c r="D125" i="1"/>
  <c r="E125" i="1" s="1"/>
  <c r="G125" i="1" s="1"/>
  <c r="D126" i="1"/>
  <c r="E126" i="1" s="1"/>
  <c r="G126" i="1" s="1"/>
  <c r="D127" i="1"/>
  <c r="E127" i="1" s="1"/>
  <c r="G127" i="1" s="1"/>
  <c r="D128" i="1"/>
  <c r="E128" i="1" s="1"/>
  <c r="G128" i="1" s="1"/>
  <c r="D129" i="1"/>
  <c r="E129" i="1" s="1"/>
  <c r="G129" i="1" s="1"/>
  <c r="D130" i="1"/>
  <c r="E130" i="1" s="1"/>
  <c r="G130" i="1" s="1"/>
  <c r="D131" i="1"/>
  <c r="E131" i="1" s="1"/>
  <c r="G131" i="1" s="1"/>
  <c r="D132" i="1"/>
  <c r="E132" i="1" s="1"/>
  <c r="G132" i="1" s="1"/>
  <c r="D133" i="1"/>
  <c r="E133" i="1" s="1"/>
  <c r="G133" i="1" s="1"/>
  <c r="D134" i="1"/>
  <c r="E134" i="1" s="1"/>
  <c r="G134" i="1" s="1"/>
  <c r="D135" i="1"/>
  <c r="E135" i="1" s="1"/>
  <c r="G135" i="1" s="1"/>
  <c r="D136" i="1"/>
  <c r="E136" i="1" s="1"/>
  <c r="G136" i="1" s="1"/>
  <c r="D137" i="1"/>
  <c r="E137" i="1" s="1"/>
  <c r="G137" i="1" s="1"/>
  <c r="D138" i="1"/>
  <c r="E138" i="1" s="1"/>
  <c r="G138" i="1" s="1"/>
  <c r="D139" i="1"/>
  <c r="E139" i="1" s="1"/>
  <c r="G139" i="1" s="1"/>
  <c r="D140" i="1"/>
  <c r="E140" i="1" s="1"/>
  <c r="G140" i="1" s="1"/>
  <c r="D141" i="1"/>
  <c r="D142" i="1"/>
  <c r="E142" i="1" s="1"/>
  <c r="G142" i="1" s="1"/>
  <c r="D143" i="1"/>
  <c r="E143" i="1" s="1"/>
  <c r="G143" i="1" s="1"/>
  <c r="D144" i="1"/>
  <c r="E144" i="1" s="1"/>
  <c r="G144" i="1" s="1"/>
  <c r="D47" i="1"/>
  <c r="E47" i="1" s="1"/>
  <c r="G47" i="1" s="1"/>
  <c r="D46" i="1"/>
  <c r="E46" i="1" s="1"/>
  <c r="G46" i="1" s="1"/>
  <c r="C6" i="1" l="1"/>
  <c r="C10" i="1" s="1"/>
  <c r="G31" i="1"/>
  <c r="G37" i="1" s="1"/>
  <c r="G25" i="1"/>
  <c r="G26" i="1"/>
  <c r="N27" i="1" s="1"/>
  <c r="F31" i="1"/>
  <c r="F35" i="1" s="1"/>
  <c r="F24" i="1"/>
  <c r="F25" i="1"/>
  <c r="F26" i="1" s="1"/>
  <c r="N26" i="1" s="1"/>
  <c r="E31" i="1"/>
  <c r="E35" i="1" s="1"/>
  <c r="E24" i="1"/>
  <c r="E25" i="1" s="1"/>
  <c r="E26" i="1" s="1"/>
  <c r="N25" i="1" s="1"/>
  <c r="D31" i="1"/>
  <c r="D35" i="1" s="1"/>
  <c r="D24" i="1"/>
  <c r="D25" i="1" s="1"/>
  <c r="D26" i="1" s="1"/>
  <c r="N24" i="1" s="1"/>
  <c r="C31" i="1"/>
  <c r="C37" i="1" s="1"/>
  <c r="C24" i="1"/>
  <c r="C25" i="1" s="1"/>
  <c r="C26" i="1" s="1"/>
  <c r="N23" i="1" s="1"/>
  <c r="C35" i="1" l="1"/>
  <c r="G35" i="1"/>
  <c r="G38" i="1" s="1"/>
  <c r="O27" i="1" s="1"/>
  <c r="F37" i="1"/>
  <c r="D38" i="1"/>
  <c r="O24" i="1" s="1"/>
  <c r="D37" i="1"/>
  <c r="E38" i="1"/>
  <c r="O25" i="1" s="1"/>
  <c r="F38" i="1"/>
  <c r="O26" i="1" s="1"/>
  <c r="C38" i="1"/>
  <c r="O23" i="1" s="1"/>
  <c r="E37" i="1"/>
</calcChain>
</file>

<file path=xl/sharedStrings.xml><?xml version="1.0" encoding="utf-8"?>
<sst xmlns="http://schemas.openxmlformats.org/spreadsheetml/2006/main" count="167" uniqueCount="89">
  <si>
    <t>Present Position</t>
  </si>
  <si>
    <t>Goal Position</t>
  </si>
  <si>
    <t>Encoder Resolution</t>
  </si>
  <si>
    <t>khz</t>
  </si>
  <si>
    <t>vdc</t>
  </si>
  <si>
    <t>counts</t>
  </si>
  <si>
    <t>counts/rev</t>
  </si>
  <si>
    <t>Position Error</t>
  </si>
  <si>
    <t>Error_Gain</t>
  </si>
  <si>
    <t>KP</t>
  </si>
  <si>
    <t>KD</t>
  </si>
  <si>
    <t>KI</t>
  </si>
  <si>
    <t>Position Error Scale</t>
  </si>
  <si>
    <t>radians</t>
  </si>
  <si>
    <t>Error Gain</t>
  </si>
  <si>
    <t>STS3250</t>
  </si>
  <si>
    <t>Max Effort</t>
  </si>
  <si>
    <t>Control Law Characterization</t>
  </si>
  <si>
    <t>Output Freq</t>
  </si>
  <si>
    <t>Output Period</t>
  </si>
  <si>
    <t xml:space="preserve"> Output Voltage</t>
  </si>
  <si>
    <t xml:space="preserve"> Effort (duty cycle)</t>
  </si>
  <si>
    <t>Error (rad)</t>
  </si>
  <si>
    <t>uS</t>
  </si>
  <si>
    <t>PWM On Time</t>
  </si>
  <si>
    <t>Present PWM</t>
  </si>
  <si>
    <t>Output Voltage</t>
  </si>
  <si>
    <t>Max PWM On Time</t>
  </si>
  <si>
    <t>register</t>
  </si>
  <si>
    <t>Peak Stall Torque</t>
  </si>
  <si>
    <t>kg*cm @12v</t>
  </si>
  <si>
    <t>Stall Current</t>
  </si>
  <si>
    <t>A @ 12v</t>
  </si>
  <si>
    <t>Winding Resistance</t>
  </si>
  <si>
    <t>ohm</t>
  </si>
  <si>
    <t>Torque Constant</t>
  </si>
  <si>
    <t>Nm</t>
  </si>
  <si>
    <t>Nm/A</t>
  </si>
  <si>
    <t>Potential Issues with Dataset</t>
  </si>
  <si>
    <t>Changed duration time of experiments yesterday from 6 seconds to 8 seconds. Now nearly half the dataset is different lengths.</t>
  </si>
  <si>
    <t>Spurious random spikes in pos/vel (can be filtered out, should nbe filtered at time of experiment, or force retry of experment)</t>
  </si>
  <si>
    <t>Failed lift and drop (a couple found still, probably old, new data acquistion does a better job of guranteeing kos torque off is executed.</t>
  </si>
  <si>
    <t>sin_time_square is interesting, seems like the motor can't keep up in any meaningful way… ?</t>
  </si>
  <si>
    <t>Raw Data</t>
  </si>
  <si>
    <t>sysid/sts3215v12/logs_gold1_first_complete_dataset_mismatch_duration_6s_vs_8s</t>
  </si>
  <si>
    <t>M1 Best Score</t>
  </si>
  <si>
    <t>Total Experiments</t>
  </si>
  <si>
    <t>Plan</t>
  </si>
  <si>
    <t>drop_lift, sin_sin, up_down, sin_time_square, brutal</t>
  </si>
  <si>
    <t>Repetitions</t>
  </si>
  <si>
    <t>Gains (KP)</t>
  </si>
  <si>
    <t>[4, 8, 16, 24, 32]</t>
  </si>
  <si>
    <t>Trajectories</t>
  </si>
  <si>
    <t>Arm Lengths</t>
  </si>
  <si>
    <t>100, 150 mm</t>
  </si>
  <si>
    <t>Weights</t>
  </si>
  <si>
    <t>0.5, 1, 1.5, 2, 2.5 lb</t>
  </si>
  <si>
    <t>Iterations</t>
  </si>
  <si>
    <t>kt</t>
  </si>
  <si>
    <t>R</t>
  </si>
  <si>
    <t>armature</t>
  </si>
  <si>
    <t>* Untouched Raw Data, Process via bam with --dt 0.005</t>
  </si>
  <si>
    <t>* Removed 218 files that had pos/vel spikes detected</t>
  </si>
  <si>
    <t>BAD LIFT AND DROP. Torque did not disable at t=2sec</t>
  </si>
  <si>
    <t>* Removed 2 Bad Lift and Drops where Torque Did not Disable</t>
  </si>
  <si>
    <t xml:space="preserve">Since our datacollection implementation records at a reliable 100hz we will not use Bam's "process" function which performs interpolation to create a stable dt between entries. </t>
  </si>
  <si>
    <t>original bam recording implementation with feetech sdk did not properly regulate the collection loop rate and data points were captured irradicatlly.</t>
  </si>
  <si>
    <t>* added dt = 0.01 to our raw dataset</t>
  </si>
  <si>
    <t>Removed BAD LIFT AND DROP. Torque did not disable at t=2sec</t>
  </si>
  <si>
    <t>Calculated (kt)</t>
  </si>
  <si>
    <t>Changed kt from calculated (1.089666667) to specsheet (1.0787315) ** This parameter is used during fit</t>
  </si>
  <si>
    <t>Changed Initial Guess at resistance from 5.5ohm to 2.0ohm (compared to sts3215 7.4v)</t>
  </si>
  <si>
    <t>Changed q_offset to make tighter (was +- 0.2 radians, changed to +-0.1 radians) measured backlash is +- 0.0175 radians</t>
  </si>
  <si>
    <t>Removed all Lift and Drop Trajectories, need to investigate, this looks like its wrecking the fit process</t>
  </si>
  <si>
    <t>Changed q_offset back to +- 0.2 radians</t>
  </si>
  <si>
    <t>removed all data files with spikes in them</t>
  </si>
  <si>
    <t>V</t>
  </si>
  <si>
    <t>kHz</t>
  </si>
  <si>
    <t>Position Error
[steps]</t>
  </si>
  <si>
    <t>Goal Position
[steps]</t>
  </si>
  <si>
    <t>Present Position
[steps]</t>
  </si>
  <si>
    <t>Position Error
[Radians]</t>
  </si>
  <si>
    <t>Duty Cycle
%</t>
  </si>
  <si>
    <t>More Data Points 2025-03-27</t>
  </si>
  <si>
    <t>Error Gain = DutyCycle / (Position Error * KP)</t>
  </si>
  <si>
    <t>STS3250 Spot Check Error Gain Measurement and Calcs</t>
  </si>
  <si>
    <t>* Chose this value right before torque protection kicks in</t>
  </si>
  <si>
    <t>STS3250 (High Res Error Gain Measurement and Calcs)</t>
  </si>
  <si>
    <t>kgcm/A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</si>
</sst>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4"/>
      <color theme="1"/>
      <name val="Aptos Narrow"/>
      <scheme val="minor"/>
    </font>
    <font>
      <sz val="12"/>
      <color rgb="FF00B050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theme="1"/>
      <name val="Aptos Narrow (Body)"/>
    </font>
    <font>
      <i/>
      <sz val="12"/>
      <color rgb="FF6D6D6D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Characterization'!$O$22</c:f>
              <c:strCache>
                <c:ptCount val="1"/>
                <c:pt idx="0">
                  <c:v>Error Gain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Characterization'!$N$23:$N$27</c:f>
              <c:numCache>
                <c:formatCode>General</c:formatCode>
                <c:ptCount val="5"/>
                <c:pt idx="0">
                  <c:v>0.13805827090970771</c:v>
                </c:pt>
                <c:pt idx="1">
                  <c:v>0.14572817484913592</c:v>
                </c:pt>
                <c:pt idx="2">
                  <c:v>0.15339807878856412</c:v>
                </c:pt>
                <c:pt idx="3">
                  <c:v>0.16106798272799233</c:v>
                </c:pt>
                <c:pt idx="4">
                  <c:v>0.17027186745530618</c:v>
                </c:pt>
              </c:numCache>
            </c:numRef>
          </c:xVal>
          <c:yVal>
            <c:numRef>
              <c:f>'Motor Characterization'!$O$23:$O$27</c:f>
              <c:numCache>
                <c:formatCode>General</c:formatCode>
                <c:ptCount val="5"/>
                <c:pt idx="0">
                  <c:v>0.16382926010852705</c:v>
                </c:pt>
                <c:pt idx="1">
                  <c:v>0.16390694112327742</c:v>
                </c:pt>
                <c:pt idx="2">
                  <c:v>0.16382926010852705</c:v>
                </c:pt>
                <c:pt idx="3">
                  <c:v>3.9152217859769828E-2</c:v>
                </c:pt>
                <c:pt idx="4">
                  <c:v>3.7044746259423458E-2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9-5140-BA0A-A6216FC31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331679"/>
        <c:axId val="1730136928"/>
      </c:scatterChart>
      <c:valAx>
        <c:axId val="188433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36928"/>
        <c:crosses val="autoZero"/>
        <c:crossBetween val="midCat"/>
      </c:valAx>
      <c:valAx>
        <c:axId val="173013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33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Characterization'!$G$45</c:f>
              <c:strCache>
                <c:ptCount val="1"/>
                <c:pt idx="0">
                  <c:v>Error Gain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Characterization'!$E$46:$E$145</c:f>
              <c:numCache>
                <c:formatCode>General</c:formatCode>
                <c:ptCount val="100"/>
                <c:pt idx="0">
                  <c:v>1.5339807878856412E-3</c:v>
                </c:pt>
                <c:pt idx="1">
                  <c:v>3.0679615757712823E-3</c:v>
                </c:pt>
                <c:pt idx="2">
                  <c:v>4.6019423636569235E-3</c:v>
                </c:pt>
                <c:pt idx="3">
                  <c:v>6.1359231515425647E-3</c:v>
                </c:pt>
                <c:pt idx="4">
                  <c:v>7.6699039394282058E-3</c:v>
                </c:pt>
                <c:pt idx="5">
                  <c:v>9.203884727313847E-3</c:v>
                </c:pt>
                <c:pt idx="6">
                  <c:v>1.0737865515199488E-2</c:v>
                </c:pt>
                <c:pt idx="7">
                  <c:v>1.2271846303085129E-2</c:v>
                </c:pt>
                <c:pt idx="8">
                  <c:v>1.3805827090970771E-2</c:v>
                </c:pt>
                <c:pt idx="9">
                  <c:v>1.5339807878856412E-2</c:v>
                </c:pt>
                <c:pt idx="10">
                  <c:v>1.6873788666742051E-2</c:v>
                </c:pt>
                <c:pt idx="11">
                  <c:v>1.8407769454627694E-2</c:v>
                </c:pt>
                <c:pt idx="12">
                  <c:v>1.9941750242513337E-2</c:v>
                </c:pt>
                <c:pt idx="13">
                  <c:v>2.1475731030398976E-2</c:v>
                </c:pt>
                <c:pt idx="14">
                  <c:v>2.3009711818284616E-2</c:v>
                </c:pt>
                <c:pt idx="15">
                  <c:v>2.4543692606170259E-2</c:v>
                </c:pt>
                <c:pt idx="16">
                  <c:v>2.6077673394055902E-2</c:v>
                </c:pt>
                <c:pt idx="17">
                  <c:v>2.7611654181941541E-2</c:v>
                </c:pt>
                <c:pt idx="18">
                  <c:v>2.914563496982718E-2</c:v>
                </c:pt>
                <c:pt idx="19">
                  <c:v>3.0679615757712823E-2</c:v>
                </c:pt>
                <c:pt idx="20">
                  <c:v>3.2213596545598466E-2</c:v>
                </c:pt>
                <c:pt idx="21">
                  <c:v>3.3747577333484102E-2</c:v>
                </c:pt>
                <c:pt idx="22">
                  <c:v>3.5281558121369745E-2</c:v>
                </c:pt>
                <c:pt idx="23">
                  <c:v>3.6815538909255388E-2</c:v>
                </c:pt>
                <c:pt idx="24">
                  <c:v>3.8349519697141031E-2</c:v>
                </c:pt>
                <c:pt idx="25">
                  <c:v>3.9883500485026674E-2</c:v>
                </c:pt>
                <c:pt idx="26">
                  <c:v>4.141748127291231E-2</c:v>
                </c:pt>
                <c:pt idx="27">
                  <c:v>4.2951462060797953E-2</c:v>
                </c:pt>
                <c:pt idx="28">
                  <c:v>4.4485442848683596E-2</c:v>
                </c:pt>
                <c:pt idx="29">
                  <c:v>4.6019423636569232E-2</c:v>
                </c:pt>
                <c:pt idx="30">
                  <c:v>4.7553404424454875E-2</c:v>
                </c:pt>
                <c:pt idx="31">
                  <c:v>4.9087385212340517E-2</c:v>
                </c:pt>
                <c:pt idx="32">
                  <c:v>5.062136600022616E-2</c:v>
                </c:pt>
                <c:pt idx="33">
                  <c:v>5.2155346788111803E-2</c:v>
                </c:pt>
                <c:pt idx="34">
                  <c:v>5.3689327575997439E-2</c:v>
                </c:pt>
                <c:pt idx="35">
                  <c:v>5.5223308363883082E-2</c:v>
                </c:pt>
                <c:pt idx="36">
                  <c:v>5.6757289151768725E-2</c:v>
                </c:pt>
                <c:pt idx="37">
                  <c:v>5.8291269939654361E-2</c:v>
                </c:pt>
                <c:pt idx="38">
                  <c:v>5.9825250727540004E-2</c:v>
                </c:pt>
                <c:pt idx="39">
                  <c:v>6.1359231515425647E-2</c:v>
                </c:pt>
                <c:pt idx="40">
                  <c:v>6.2893212303311283E-2</c:v>
                </c:pt>
                <c:pt idx="41">
                  <c:v>6.4427193091196933E-2</c:v>
                </c:pt>
                <c:pt idx="42">
                  <c:v>6.5961173879082569E-2</c:v>
                </c:pt>
                <c:pt idx="43">
                  <c:v>6.7495154666968205E-2</c:v>
                </c:pt>
                <c:pt idx="44">
                  <c:v>6.9029135454853854E-2</c:v>
                </c:pt>
                <c:pt idx="45">
                  <c:v>7.056311624273949E-2</c:v>
                </c:pt>
                <c:pt idx="46">
                  <c:v>7.209709703062514E-2</c:v>
                </c:pt>
                <c:pt idx="47">
                  <c:v>7.3631077818510776E-2</c:v>
                </c:pt>
                <c:pt idx="48">
                  <c:v>7.5165058606396412E-2</c:v>
                </c:pt>
                <c:pt idx="49">
                  <c:v>7.6699039394282062E-2</c:v>
                </c:pt>
                <c:pt idx="50">
                  <c:v>7.8233020182167698E-2</c:v>
                </c:pt>
                <c:pt idx="51">
                  <c:v>7.9767000970053348E-2</c:v>
                </c:pt>
                <c:pt idx="52">
                  <c:v>8.1300981757938984E-2</c:v>
                </c:pt>
                <c:pt idx="53">
                  <c:v>8.283496254582462E-2</c:v>
                </c:pt>
                <c:pt idx="54">
                  <c:v>8.436894333371027E-2</c:v>
                </c:pt>
                <c:pt idx="55">
                  <c:v>8.5902924121595906E-2</c:v>
                </c:pt>
                <c:pt idx="56">
                  <c:v>8.7436904909481541E-2</c:v>
                </c:pt>
                <c:pt idx="57">
                  <c:v>8.8970885697367191E-2</c:v>
                </c:pt>
                <c:pt idx="58">
                  <c:v>9.0504866485252827E-2</c:v>
                </c:pt>
                <c:pt idx="59">
                  <c:v>9.2038847273138463E-2</c:v>
                </c:pt>
                <c:pt idx="60">
                  <c:v>9.3572828061024113E-2</c:v>
                </c:pt>
                <c:pt idx="61">
                  <c:v>9.5106808848909749E-2</c:v>
                </c:pt>
                <c:pt idx="62">
                  <c:v>9.6640789636795399E-2</c:v>
                </c:pt>
                <c:pt idx="63">
                  <c:v>9.8174770424681035E-2</c:v>
                </c:pt>
                <c:pt idx="64">
                  <c:v>9.9708751212566671E-2</c:v>
                </c:pt>
                <c:pt idx="65">
                  <c:v>0.10124273200045232</c:v>
                </c:pt>
                <c:pt idx="66">
                  <c:v>0.10277671278833796</c:v>
                </c:pt>
                <c:pt idx="67">
                  <c:v>0.10431069357622361</c:v>
                </c:pt>
                <c:pt idx="68">
                  <c:v>0.10584467436410924</c:v>
                </c:pt>
                <c:pt idx="69">
                  <c:v>0.10737865515199488</c:v>
                </c:pt>
                <c:pt idx="70">
                  <c:v>0.10891263593988053</c:v>
                </c:pt>
                <c:pt idx="71">
                  <c:v>0.11044661672776616</c:v>
                </c:pt>
                <c:pt idx="72">
                  <c:v>0.1119805975156518</c:v>
                </c:pt>
                <c:pt idx="73">
                  <c:v>0.11351457830353745</c:v>
                </c:pt>
                <c:pt idx="74">
                  <c:v>0.11504855909142309</c:v>
                </c:pt>
                <c:pt idx="75">
                  <c:v>0.11658253987930872</c:v>
                </c:pt>
                <c:pt idx="76">
                  <c:v>0.11811652066719437</c:v>
                </c:pt>
                <c:pt idx="77">
                  <c:v>0.11965050145508001</c:v>
                </c:pt>
                <c:pt idx="78">
                  <c:v>0.12118448224296566</c:v>
                </c:pt>
                <c:pt idx="79">
                  <c:v>0.12271846303085129</c:v>
                </c:pt>
                <c:pt idx="80">
                  <c:v>0.12425244381873693</c:v>
                </c:pt>
                <c:pt idx="81">
                  <c:v>0.12578642460662257</c:v>
                </c:pt>
                <c:pt idx="82">
                  <c:v>0.12732040539450823</c:v>
                </c:pt>
                <c:pt idx="83">
                  <c:v>0.12885438618239387</c:v>
                </c:pt>
                <c:pt idx="84">
                  <c:v>0.1303883669702795</c:v>
                </c:pt>
                <c:pt idx="85">
                  <c:v>0.13192234775816514</c:v>
                </c:pt>
                <c:pt idx="86">
                  <c:v>0.13345632854605077</c:v>
                </c:pt>
                <c:pt idx="87">
                  <c:v>0.13499030933393641</c:v>
                </c:pt>
                <c:pt idx="88">
                  <c:v>0.13652429012182207</c:v>
                </c:pt>
                <c:pt idx="89">
                  <c:v>0.13805827090970771</c:v>
                </c:pt>
                <c:pt idx="90">
                  <c:v>0.13959225169759334</c:v>
                </c:pt>
                <c:pt idx="91">
                  <c:v>0.14112623248547898</c:v>
                </c:pt>
                <c:pt idx="92">
                  <c:v>0.14266021327336462</c:v>
                </c:pt>
                <c:pt idx="93">
                  <c:v>0.14419419406125028</c:v>
                </c:pt>
                <c:pt idx="94">
                  <c:v>0.14572817484913592</c:v>
                </c:pt>
                <c:pt idx="95">
                  <c:v>0.14726215563702155</c:v>
                </c:pt>
                <c:pt idx="96">
                  <c:v>0.14879613642490719</c:v>
                </c:pt>
                <c:pt idx="97">
                  <c:v>0.15033011721279282</c:v>
                </c:pt>
                <c:pt idx="98">
                  <c:v>0.15186409800067849</c:v>
                </c:pt>
                <c:pt idx="99">
                  <c:v>0.15339807878856412</c:v>
                </c:pt>
              </c:numCache>
            </c:numRef>
          </c:xVal>
          <c:yVal>
            <c:numRef>
              <c:f>'Motor Characterization'!$G$46:$G$145</c:f>
              <c:numCache>
                <c:formatCode>General</c:formatCode>
                <c:ptCount val="100"/>
                <c:pt idx="0">
                  <c:v>0.19862536897868538</c:v>
                </c:pt>
                <c:pt idx="1">
                  <c:v>0.1808000153523931</c:v>
                </c:pt>
                <c:pt idx="2">
                  <c:v>0.17512985524650584</c:v>
                </c:pt>
                <c:pt idx="3">
                  <c:v>0.17209105686640461</c:v>
                </c:pt>
                <c:pt idx="4">
                  <c:v>0.17026777783834385</c:v>
                </c:pt>
                <c:pt idx="5">
                  <c:v>0.16898435237725079</c:v>
                </c:pt>
                <c:pt idx="6">
                  <c:v>0.16812582514137223</c:v>
                </c:pt>
                <c:pt idx="7">
                  <c:v>0.16750739450535801</c:v>
                </c:pt>
                <c:pt idx="8">
                  <c:v>0.167003757529885</c:v>
                </c:pt>
                <c:pt idx="9">
                  <c:v>0.16653973245135928</c:v>
                </c:pt>
                <c:pt idx="10">
                  <c:v>0.16621563511269943</c:v>
                </c:pt>
                <c:pt idx="11">
                  <c:v>0.16596253052441268</c:v>
                </c:pt>
                <c:pt idx="12">
                  <c:v>0.16574836510355465</c:v>
                </c:pt>
                <c:pt idx="13">
                  <c:v>0.16555024343373653</c:v>
                </c:pt>
                <c:pt idx="14">
                  <c:v>0.16537853798656083</c:v>
                </c:pt>
                <c:pt idx="15">
                  <c:v>0.16520283092938737</c:v>
                </c:pt>
                <c:pt idx="16">
                  <c:v>0.16507176215272346</c:v>
                </c:pt>
                <c:pt idx="17">
                  <c:v>0.16495525657346663</c:v>
                </c:pt>
                <c:pt idx="18">
                  <c:v>0.16485101473939476</c:v>
                </c:pt>
                <c:pt idx="19">
                  <c:v>0.16475719708873007</c:v>
                </c:pt>
                <c:pt idx="20">
                  <c:v>0.16467231445241437</c:v>
                </c:pt>
                <c:pt idx="21">
                  <c:v>0.16459514841940015</c:v>
                </c:pt>
                <c:pt idx="22">
                  <c:v>0.16452469247621321</c:v>
                </c:pt>
                <c:pt idx="23">
                  <c:v>0.16446010786162518</c:v>
                </c:pt>
                <c:pt idx="24">
                  <c:v>0.16437624381694529</c:v>
                </c:pt>
                <c:pt idx="25">
                  <c:v>0.16433017213372655</c:v>
                </c:pt>
                <c:pt idx="26">
                  <c:v>0.16427242292132718</c:v>
                </c:pt>
                <c:pt idx="27">
                  <c:v>0.16422607430721198</c:v>
                </c:pt>
                <c:pt idx="28">
                  <c:v>0.16416887260943863</c:v>
                </c:pt>
                <c:pt idx="29">
                  <c:v>0.16414264680180457</c:v>
                </c:pt>
                <c:pt idx="30">
                  <c:v>0.16409182674599748</c:v>
                </c:pt>
                <c:pt idx="31">
                  <c:v>0.1640569153391257</c:v>
                </c:pt>
                <c:pt idx="32">
                  <c:v>0.16402411977509465</c:v>
                </c:pt>
                <c:pt idx="33">
                  <c:v>0.16399325336188894</c:v>
                </c:pt>
                <c:pt idx="34">
                  <c:v>0.16396415074372359</c:v>
                </c:pt>
                <c:pt idx="35">
                  <c:v>0.16393666493767853</c:v>
                </c:pt>
                <c:pt idx="36">
                  <c:v>0.16391066485087913</c:v>
                </c:pt>
                <c:pt idx="37">
                  <c:v>0.16385922814665371</c:v>
                </c:pt>
                <c:pt idx="38">
                  <c:v>0.16382609986268271</c:v>
                </c:pt>
                <c:pt idx="39">
                  <c:v>0.16384046461652077</c:v>
                </c:pt>
                <c:pt idx="40">
                  <c:v>0.16380940999347846</c:v>
                </c:pt>
                <c:pt idx="41">
                  <c:v>0.16378468459837045</c:v>
                </c:pt>
                <c:pt idx="42">
                  <c:v>0.16377058449267015</c:v>
                </c:pt>
                <c:pt idx="43">
                  <c:v>0.16371545564303766</c:v>
                </c:pt>
                <c:pt idx="44">
                  <c:v>0.16373521014748929</c:v>
                </c:pt>
                <c:pt idx="45">
                  <c:v>0.16370539050829669</c:v>
                </c:pt>
                <c:pt idx="46">
                  <c:v>0.16368984308739887</c:v>
                </c:pt>
                <c:pt idx="47">
                  <c:v>0.16367494347570516</c:v>
                </c:pt>
                <c:pt idx="48">
                  <c:v>0.16366065201142754</c:v>
                </c:pt>
                <c:pt idx="49">
                  <c:v>0.16364693220572099</c:v>
                </c:pt>
                <c:pt idx="50">
                  <c:v>0.1636337504316108</c:v>
                </c:pt>
                <c:pt idx="51">
                  <c:v>0.16362107564881251</c:v>
                </c:pt>
                <c:pt idx="52">
                  <c:v>0.16360887915970473</c:v>
                </c:pt>
                <c:pt idx="53">
                  <c:v>0.16358958926918776</c:v>
                </c:pt>
                <c:pt idx="54">
                  <c:v>0.16357840876840432</c:v>
                </c:pt>
                <c:pt idx="55">
                  <c:v>0.16356398974394967</c:v>
                </c:pt>
                <c:pt idx="56">
                  <c:v>0.16355722466165684</c:v>
                </c:pt>
                <c:pt idx="57">
                  <c:v>0.16354366808816176</c:v>
                </c:pt>
                <c:pt idx="58">
                  <c:v>0.16354438247154165</c:v>
                </c:pt>
                <c:pt idx="59">
                  <c:v>0.16352809651487904</c:v>
                </c:pt>
                <c:pt idx="60">
                  <c:v>0.16352570310283868</c:v>
                </c:pt>
                <c:pt idx="61">
                  <c:v>0.16351681533869775</c:v>
                </c:pt>
                <c:pt idx="62">
                  <c:v>0.16350174247731819</c:v>
                </c:pt>
                <c:pt idx="63">
                  <c:v>0.16348395754399489</c:v>
                </c:pt>
                <c:pt idx="64">
                  <c:v>0.16346045158316902</c:v>
                </c:pt>
                <c:pt idx="65">
                  <c:v>0.16343765792418635</c:v>
                </c:pt>
                <c:pt idx="66">
                  <c:v>0.16349155897411274</c:v>
                </c:pt>
                <c:pt idx="67">
                  <c:v>0.1634539989664717</c:v>
                </c:pt>
                <c:pt idx="68">
                  <c:v>0.16344705204994459</c:v>
                </c:pt>
                <c:pt idx="69">
                  <c:v>0.16343448309311376</c:v>
                </c:pt>
                <c:pt idx="70">
                  <c:v>0.16341939891919141</c:v>
                </c:pt>
                <c:pt idx="71">
                  <c:v>0.16339907490767921</c:v>
                </c:pt>
                <c:pt idx="72">
                  <c:v>0.16339326102847954</c:v>
                </c:pt>
                <c:pt idx="73">
                  <c:v>0.16340136903298505</c:v>
                </c:pt>
                <c:pt idx="74">
                  <c:v>0.16340382833531289</c:v>
                </c:pt>
                <c:pt idx="75">
                  <c:v>0.16337673737180669</c:v>
                </c:pt>
                <c:pt idx="76">
                  <c:v>0.16338209838041606</c:v>
                </c:pt>
                <c:pt idx="77">
                  <c:v>0.163379486606991</c:v>
                </c:pt>
                <c:pt idx="78">
                  <c:v>0.16336146867640014</c:v>
                </c:pt>
                <c:pt idx="79">
                  <c:v>0.16335663358952141</c:v>
                </c:pt>
                <c:pt idx="80">
                  <c:v>0.16335191788750386</c:v>
                </c:pt>
                <c:pt idx="81">
                  <c:v>0.1633473172026087</c:v>
                </c:pt>
                <c:pt idx="82">
                  <c:v>0.16334282737759048</c:v>
                </c:pt>
                <c:pt idx="83">
                  <c:v>0.163338444453168</c:v>
                </c:pt>
                <c:pt idx="84">
                  <c:v>0.16333416465637901</c:v>
                </c:pt>
                <c:pt idx="85">
                  <c:v>0.16332998438974786</c:v>
                </c:pt>
                <c:pt idx="86">
                  <c:v>0.16331419227136357</c:v>
                </c:pt>
                <c:pt idx="87">
                  <c:v>0.16332190887466499</c:v>
                </c:pt>
                <c:pt idx="88">
                  <c:v>0.16330656237146998</c:v>
                </c:pt>
                <c:pt idx="89">
                  <c:v>0.16330287458652143</c:v>
                </c:pt>
                <c:pt idx="90">
                  <c:v>0.16329926785179155</c:v>
                </c:pt>
                <c:pt idx="91">
                  <c:v>0.1632957395243384</c:v>
                </c:pt>
                <c:pt idx="92">
                  <c:v>0.16328133447666071</c:v>
                </c:pt>
                <c:pt idx="93">
                  <c:v>0.16328457364932999</c:v>
                </c:pt>
                <c:pt idx="94">
                  <c:v>0.16327487820822784</c:v>
                </c:pt>
                <c:pt idx="95">
                  <c:v>0.16329297161228465</c:v>
                </c:pt>
                <c:pt idx="96">
                  <c:v>0.16326868817766854</c:v>
                </c:pt>
                <c:pt idx="97">
                  <c:v>0.16326568790775461</c:v>
                </c:pt>
                <c:pt idx="98">
                  <c:v>0.16326892153199518</c:v>
                </c:pt>
                <c:pt idx="99">
                  <c:v>0.16324968146776361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1-0F4B-B706-8D07A84B3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789567"/>
        <c:axId val="1362407775"/>
      </c:scatterChart>
      <c:valAx>
        <c:axId val="136278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07775"/>
        <c:crosses val="autoZero"/>
        <c:crossBetween val="midCat"/>
      </c:valAx>
      <c:valAx>
        <c:axId val="1362407775"/>
        <c:scaling>
          <c:orientation val="minMax"/>
          <c:min val="0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8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20</xdr:row>
      <xdr:rowOff>59267</xdr:rowOff>
    </xdr:from>
    <xdr:to>
      <xdr:col>13</xdr:col>
      <xdr:colOff>215900</xdr:colOff>
      <xdr:row>33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68F4B2-1DA3-E305-73A4-48F8065BF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187960</xdr:colOff>
      <xdr:row>45</xdr:row>
      <xdr:rowOff>30480</xdr:rowOff>
    </xdr:from>
    <xdr:to>
      <xdr:col>11</xdr:col>
      <xdr:colOff>391160</xdr:colOff>
      <xdr:row>58</xdr:row>
      <xdr:rowOff>132080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50DADC-F5DC-9EB2-2D43-4A2B4B6E1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347133</xdr:colOff>
      <xdr:row>34</xdr:row>
      <xdr:rowOff>152400</xdr:rowOff>
    </xdr:from>
    <xdr:to>
      <xdr:col>16</xdr:col>
      <xdr:colOff>651933</xdr:colOff>
      <xdr:row>66</xdr:row>
      <xdr:rowOff>93874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F7657-1009-570C-A1CE-9B5CB80F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1333" y="7078133"/>
          <a:ext cx="7772400" cy="64438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575733</xdr:colOff>
      <xdr:row>57</xdr:row>
      <xdr:rowOff>170075</xdr:rowOff>
    </xdr:from>
    <xdr:to>
      <xdr:col>13</xdr:col>
      <xdr:colOff>338665</xdr:colOff>
      <xdr:row>67</xdr:row>
      <xdr:rowOff>25042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90015A-E66A-F7B5-8D4C-49D67E34F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9133" y="11837142"/>
          <a:ext cx="2252132" cy="1920833"/>
        </a:xfrm>
        <a:prstGeom prst="rect">
          <a:avLst/>
        </a:prstGeom>
      </xdr:spPr>
    </xdr:pic>
    <xdr:clientData/>
  </xdr:twoCellAnchor>
  <xdr:twoCellAnchor editAs="oneCell">
    <xdr:from>
      <xdr:col>10</xdr:col>
      <xdr:colOff>482598</xdr:colOff>
      <xdr:row>67</xdr:row>
      <xdr:rowOff>93134</xdr:rowOff>
    </xdr:from>
    <xdr:to>
      <xdr:col>13</xdr:col>
      <xdr:colOff>364067</xdr:colOff>
      <xdr:row>77</xdr:row>
      <xdr:rowOff>36691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A973F8-4663-304B-87A7-4334FBEAA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5998" y="13826067"/>
          <a:ext cx="2370669" cy="1975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C871-A49E-9142-85B5-0EB2B753AA5B}">
  <dimension ref="B1:P145"/>
  <sheetViews>
    <sheetView tabSelected="1" zoomScale="125" zoomScaleNormal="150" workbookViewId="0">
      <selection activeCell="F10" sqref="F10"/>
    </sheetView>
  </sheetViews>
  <sheetFormatPr baseColWidth="10" defaultRowHeight="16" x14ac:dyDescent="0.2"/>
  <cols>
    <col min="2" max="2" width="24.5" customWidth="1"/>
    <col min="3" max="3" width="14.5" customWidth="1"/>
    <col min="4" max="4" width="13.1640625" customWidth="1"/>
    <col min="5" max="5" width="14.1640625" customWidth="1"/>
    <col min="6" max="6" width="18" customWidth="1"/>
    <col min="7" max="7" width="15.6640625" customWidth="1"/>
    <col min="8" max="8" width="15.5" customWidth="1"/>
    <col min="9" max="9" width="13.83203125" customWidth="1"/>
    <col min="10" max="10" width="14.6640625" customWidth="1"/>
    <col min="11" max="11" width="13.33203125" customWidth="1"/>
    <col min="13" max="13" width="21.5" customWidth="1"/>
    <col min="14" max="14" width="28" customWidth="1"/>
    <col min="16" max="16" width="13.33203125" customWidth="1"/>
    <col min="18" max="18" width="16.6640625" customWidth="1"/>
  </cols>
  <sheetData>
    <row r="1" spans="2:11" ht="27" x14ac:dyDescent="0.35">
      <c r="B1" s="4" t="s">
        <v>17</v>
      </c>
    </row>
    <row r="3" spans="2:11" ht="22" x14ac:dyDescent="0.3">
      <c r="B3" s="2" t="s">
        <v>15</v>
      </c>
      <c r="K3" s="14"/>
    </row>
    <row r="4" spans="2:11" x14ac:dyDescent="0.2">
      <c r="B4" t="s">
        <v>2</v>
      </c>
      <c r="C4">
        <v>4096</v>
      </c>
      <c r="D4" t="s">
        <v>6</v>
      </c>
      <c r="K4" s="14"/>
    </row>
    <row r="5" spans="2:11" x14ac:dyDescent="0.2">
      <c r="B5" t="s">
        <v>29</v>
      </c>
      <c r="C5">
        <v>50</v>
      </c>
      <c r="D5" t="s">
        <v>30</v>
      </c>
      <c r="K5" s="14"/>
    </row>
    <row r="6" spans="2:11" x14ac:dyDescent="0.2">
      <c r="B6" t="s">
        <v>29</v>
      </c>
      <c r="C6">
        <f>C5*0.09807</f>
        <v>4.9035000000000002</v>
      </c>
      <c r="D6" t="s">
        <v>36</v>
      </c>
      <c r="K6" s="14"/>
    </row>
    <row r="7" spans="2:11" x14ac:dyDescent="0.2">
      <c r="B7" t="s">
        <v>31</v>
      </c>
      <c r="C7">
        <v>4.5999999999999996</v>
      </c>
      <c r="D7" t="s">
        <v>32</v>
      </c>
      <c r="K7" s="14"/>
    </row>
    <row r="8" spans="2:11" x14ac:dyDescent="0.2">
      <c r="B8" t="s">
        <v>35</v>
      </c>
      <c r="C8">
        <v>11</v>
      </c>
      <c r="D8" t="s">
        <v>88</v>
      </c>
      <c r="K8" s="14"/>
    </row>
    <row r="9" spans="2:11" x14ac:dyDescent="0.2">
      <c r="B9" t="s">
        <v>35</v>
      </c>
      <c r="C9">
        <v>1.0787315</v>
      </c>
      <c r="D9" t="s">
        <v>37</v>
      </c>
      <c r="K9" s="14"/>
    </row>
    <row r="10" spans="2:11" x14ac:dyDescent="0.2">
      <c r="B10" t="s">
        <v>69</v>
      </c>
      <c r="C10">
        <f>C6/C7</f>
        <v>1.0659782608695654</v>
      </c>
    </row>
    <row r="11" spans="2:11" x14ac:dyDescent="0.2">
      <c r="B11" t="s">
        <v>33</v>
      </c>
      <c r="C11">
        <v>1.2</v>
      </c>
      <c r="D11" t="s">
        <v>34</v>
      </c>
    </row>
    <row r="12" spans="2:11" x14ac:dyDescent="0.2">
      <c r="B12" t="s">
        <v>9</v>
      </c>
      <c r="C12">
        <v>32</v>
      </c>
    </row>
    <row r="13" spans="2:11" x14ac:dyDescent="0.2">
      <c r="B13" t="s">
        <v>10</v>
      </c>
      <c r="C13">
        <v>0</v>
      </c>
    </row>
    <row r="14" spans="2:11" x14ac:dyDescent="0.2">
      <c r="B14" t="s">
        <v>11</v>
      </c>
      <c r="C14">
        <v>0</v>
      </c>
    </row>
    <row r="15" spans="2:11" x14ac:dyDescent="0.2">
      <c r="B15" t="s">
        <v>20</v>
      </c>
      <c r="C15">
        <v>12.1</v>
      </c>
      <c r="D15" t="s">
        <v>76</v>
      </c>
    </row>
    <row r="16" spans="2:11" x14ac:dyDescent="0.2">
      <c r="B16" t="s">
        <v>18</v>
      </c>
      <c r="C16">
        <v>24.16</v>
      </c>
      <c r="D16" t="s">
        <v>77</v>
      </c>
    </row>
    <row r="18" spans="2:16" ht="19" x14ac:dyDescent="0.25">
      <c r="B18" s="3" t="s">
        <v>84</v>
      </c>
    </row>
    <row r="19" spans="2:16" ht="19" x14ac:dyDescent="0.25">
      <c r="B19" s="3"/>
    </row>
    <row r="21" spans="2:16" ht="22" x14ac:dyDescent="0.3">
      <c r="B21" s="2" t="s">
        <v>85</v>
      </c>
    </row>
    <row r="22" spans="2:16" x14ac:dyDescent="0.2">
      <c r="B22" t="s">
        <v>2</v>
      </c>
      <c r="C22">
        <v>4096</v>
      </c>
      <c r="D22">
        <v>4096</v>
      </c>
      <c r="E22">
        <v>4096</v>
      </c>
      <c r="F22">
        <v>4096</v>
      </c>
      <c r="G22">
        <v>4096</v>
      </c>
      <c r="H22" t="s">
        <v>6</v>
      </c>
      <c r="N22" s="6" t="s">
        <v>22</v>
      </c>
      <c r="O22" t="s">
        <v>14</v>
      </c>
    </row>
    <row r="23" spans="2:16" x14ac:dyDescent="0.2">
      <c r="B23" t="s">
        <v>0</v>
      </c>
      <c r="C23">
        <v>2263</v>
      </c>
      <c r="D23">
        <v>2263</v>
      </c>
      <c r="E23">
        <v>2263</v>
      </c>
      <c r="F23">
        <v>2263</v>
      </c>
      <c r="G23">
        <v>2263</v>
      </c>
      <c r="H23" t="s">
        <v>5</v>
      </c>
      <c r="N23">
        <f>C26</f>
        <v>0.13805827090970771</v>
      </c>
      <c r="O23">
        <f>C38</f>
        <v>0.16382926010852705</v>
      </c>
    </row>
    <row r="24" spans="2:16" x14ac:dyDescent="0.2">
      <c r="B24" t="s">
        <v>1</v>
      </c>
      <c r="C24">
        <f>2263+90</f>
        <v>2353</v>
      </c>
      <c r="D24">
        <f>2263+95</f>
        <v>2358</v>
      </c>
      <c r="E24">
        <f>2263+100</f>
        <v>2363</v>
      </c>
      <c r="F24">
        <f>2263+105</f>
        <v>2368</v>
      </c>
      <c r="G24">
        <v>2374</v>
      </c>
      <c r="H24" t="s">
        <v>5</v>
      </c>
      <c r="N24">
        <f>D26</f>
        <v>0.14572817484913592</v>
      </c>
      <c r="O24">
        <f>D38</f>
        <v>0.16390694112327742</v>
      </c>
    </row>
    <row r="25" spans="2:16" x14ac:dyDescent="0.2">
      <c r="B25" t="s">
        <v>7</v>
      </c>
      <c r="C25">
        <f>C24-C23</f>
        <v>90</v>
      </c>
      <c r="D25">
        <f>D24-D23</f>
        <v>95</v>
      </c>
      <c r="E25">
        <f>E24-E23</f>
        <v>100</v>
      </c>
      <c r="F25">
        <f>F24-F23</f>
        <v>105</v>
      </c>
      <c r="G25">
        <f>G24-G23</f>
        <v>111</v>
      </c>
      <c r="H25" t="s">
        <v>5</v>
      </c>
      <c r="N25" s="8">
        <f>E26</f>
        <v>0.15339807878856412</v>
      </c>
      <c r="O25" s="8">
        <f>E38</f>
        <v>0.16382926010852705</v>
      </c>
      <c r="P25" t="s">
        <v>86</v>
      </c>
    </row>
    <row r="26" spans="2:16" x14ac:dyDescent="0.2">
      <c r="B26" t="s">
        <v>12</v>
      </c>
      <c r="C26">
        <f>(C25/C22) * 2 * PI()</f>
        <v>0.13805827090970771</v>
      </c>
      <c r="D26">
        <f>(D25/D22) * 2 * PI()</f>
        <v>0.14572817484913592</v>
      </c>
      <c r="E26">
        <f>(E25/E22) * 2 * PI()</f>
        <v>0.15339807878856412</v>
      </c>
      <c r="F26">
        <f>(F25/F22) * 2 * PI()</f>
        <v>0.16106798272799233</v>
      </c>
      <c r="G26">
        <f>(G25/G22) * 2 * PI()</f>
        <v>0.17027186745530618</v>
      </c>
      <c r="H26" t="s">
        <v>13</v>
      </c>
      <c r="N26" s="7">
        <f>F26</f>
        <v>0.16106798272799233</v>
      </c>
      <c r="O26" s="7">
        <f>F38</f>
        <v>3.9152217859769828E-2</v>
      </c>
    </row>
    <row r="27" spans="2:16" x14ac:dyDescent="0.2">
      <c r="B27" t="s">
        <v>9</v>
      </c>
      <c r="C27">
        <v>32</v>
      </c>
      <c r="D27">
        <v>32</v>
      </c>
      <c r="E27">
        <v>32</v>
      </c>
      <c r="F27">
        <v>32</v>
      </c>
      <c r="G27">
        <v>32</v>
      </c>
      <c r="N27" s="7">
        <f>G26</f>
        <v>0.17027186745530618</v>
      </c>
      <c r="O27" s="7">
        <f>G38</f>
        <v>3.7044746259423458E-2</v>
      </c>
    </row>
    <row r="28" spans="2:16" x14ac:dyDescent="0.2">
      <c r="B28" t="s">
        <v>10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2:16" x14ac:dyDescent="0.2">
      <c r="B29" t="s">
        <v>11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2:16" x14ac:dyDescent="0.2">
      <c r="B30" t="s">
        <v>18</v>
      </c>
      <c r="C30">
        <v>24.15</v>
      </c>
      <c r="D30">
        <v>24.15</v>
      </c>
      <c r="E30">
        <v>24.15</v>
      </c>
      <c r="F30">
        <v>24.15</v>
      </c>
      <c r="G30">
        <v>24.15</v>
      </c>
      <c r="H30" t="s">
        <v>3</v>
      </c>
      <c r="L30" s="8"/>
      <c r="M30" s="8"/>
    </row>
    <row r="31" spans="2:16" x14ac:dyDescent="0.2">
      <c r="B31" t="s">
        <v>19</v>
      </c>
      <c r="C31">
        <f>1/C30*1000</f>
        <v>41.407867494824018</v>
      </c>
      <c r="D31">
        <f>1/D30*1000</f>
        <v>41.407867494824018</v>
      </c>
      <c r="E31">
        <f>1/E30*1000</f>
        <v>41.407867494824018</v>
      </c>
      <c r="F31">
        <f>1/F30*1000</f>
        <v>41.407867494824018</v>
      </c>
      <c r="G31">
        <f>1/G30*1000</f>
        <v>41.407867494824018</v>
      </c>
      <c r="H31" t="s">
        <v>23</v>
      </c>
      <c r="L31" s="7"/>
      <c r="M31" s="7"/>
    </row>
    <row r="32" spans="2:16" x14ac:dyDescent="0.2">
      <c r="B32" t="s">
        <v>26</v>
      </c>
      <c r="C32">
        <v>12.1</v>
      </c>
      <c r="D32">
        <v>12.1</v>
      </c>
      <c r="E32">
        <v>12.1</v>
      </c>
      <c r="F32">
        <v>12.1</v>
      </c>
      <c r="G32">
        <v>12.1</v>
      </c>
      <c r="H32" t="s">
        <v>4</v>
      </c>
      <c r="L32" s="7"/>
      <c r="M32" s="9"/>
    </row>
    <row r="33" spans="2:9" x14ac:dyDescent="0.2">
      <c r="B33" t="s">
        <v>25</v>
      </c>
      <c r="C33">
        <v>-720</v>
      </c>
      <c r="D33">
        <v>-760</v>
      </c>
      <c r="E33">
        <v>-800</v>
      </c>
      <c r="F33">
        <v>22</v>
      </c>
      <c r="H33" t="s">
        <v>28</v>
      </c>
    </row>
    <row r="34" spans="2:9" x14ac:dyDescent="0.2">
      <c r="B34" t="s">
        <v>24</v>
      </c>
      <c r="C34">
        <v>29.97</v>
      </c>
      <c r="D34">
        <v>31.65</v>
      </c>
      <c r="E34">
        <v>33.299999999999997</v>
      </c>
      <c r="F34">
        <v>8.3559999999999999</v>
      </c>
      <c r="G34">
        <v>8.3580000000000005</v>
      </c>
      <c r="H34" t="s">
        <v>23</v>
      </c>
    </row>
    <row r="35" spans="2:9" ht="17" customHeight="1" x14ac:dyDescent="0.2">
      <c r="B35" t="s">
        <v>21</v>
      </c>
      <c r="C35" s="1">
        <f>C34/C31</f>
        <v>0.72377549999999991</v>
      </c>
      <c r="D35" s="1">
        <f>D34/D31</f>
        <v>0.76434749999999996</v>
      </c>
      <c r="E35" s="1">
        <f>E34/E31</f>
        <v>0.80419499999999988</v>
      </c>
      <c r="F35" s="1">
        <f>F34/F31</f>
        <v>0.20179739999999999</v>
      </c>
      <c r="G35" s="1">
        <f>G34/G31</f>
        <v>0.20184570000000002</v>
      </c>
    </row>
    <row r="36" spans="2:9" ht="17" customHeight="1" x14ac:dyDescent="0.2">
      <c r="B36" s="10" t="s">
        <v>27</v>
      </c>
      <c r="C36" s="1">
        <v>41.4</v>
      </c>
      <c r="D36" s="1">
        <v>41.4</v>
      </c>
      <c r="E36" s="1">
        <v>41.4</v>
      </c>
      <c r="F36" s="1">
        <v>41.4</v>
      </c>
      <c r="G36" s="1">
        <v>41.4</v>
      </c>
    </row>
    <row r="37" spans="2:9" ht="19" x14ac:dyDescent="0.25">
      <c r="B37" s="5" t="s">
        <v>16</v>
      </c>
      <c r="C37" s="5">
        <f>C36/C31</f>
        <v>0.99980999999999998</v>
      </c>
      <c r="D37" s="5">
        <f t="shared" ref="D37:F37" si="0">D36/D31</f>
        <v>0.99980999999999998</v>
      </c>
      <c r="E37" s="5">
        <f t="shared" si="0"/>
        <v>0.99980999999999998</v>
      </c>
      <c r="F37" s="5">
        <f t="shared" si="0"/>
        <v>0.99980999999999998</v>
      </c>
      <c r="G37" s="5">
        <f>G36/G31</f>
        <v>0.99980999999999998</v>
      </c>
    </row>
    <row r="38" spans="2:9" ht="19" x14ac:dyDescent="0.25">
      <c r="B38" s="3" t="s">
        <v>8</v>
      </c>
      <c r="C38" s="5">
        <f>C35 / (C26*C27)</f>
        <v>0.16382926010852705</v>
      </c>
      <c r="D38" s="5">
        <f>D35 / (D26*D27)</f>
        <v>0.16390694112327742</v>
      </c>
      <c r="E38" s="3">
        <f>E35 / (E26*E27)</f>
        <v>0.16382926010852705</v>
      </c>
      <c r="F38" s="5">
        <f>F35 / (F26*F27)</f>
        <v>3.9152217859769828E-2</v>
      </c>
      <c r="G38" s="5">
        <f>G35 / (G26*G27)</f>
        <v>3.7044746259423458E-2</v>
      </c>
    </row>
    <row r="41" spans="2:9" x14ac:dyDescent="0.2">
      <c r="B41" t="s">
        <v>83</v>
      </c>
    </row>
    <row r="42" spans="2:9" ht="22" x14ac:dyDescent="0.3">
      <c r="B42" s="2" t="s">
        <v>87</v>
      </c>
    </row>
    <row r="45" spans="2:9" ht="34" x14ac:dyDescent="0.2">
      <c r="B45" s="12" t="s">
        <v>80</v>
      </c>
      <c r="C45" s="12" t="s">
        <v>79</v>
      </c>
      <c r="D45" s="12" t="s">
        <v>78</v>
      </c>
      <c r="E45" s="12" t="s">
        <v>81</v>
      </c>
      <c r="F45" s="12" t="s">
        <v>82</v>
      </c>
      <c r="G45" s="13" t="s">
        <v>14</v>
      </c>
    </row>
    <row r="46" spans="2:9" x14ac:dyDescent="0.2">
      <c r="B46">
        <v>1861</v>
      </c>
      <c r="C46">
        <v>1862</v>
      </c>
      <c r="D46">
        <f>C46-B46</f>
        <v>1</v>
      </c>
      <c r="E46">
        <f t="shared" ref="E46:E77" si="1">ABS((D46/$C$4) * 2 * PI())</f>
        <v>1.5339807878856412E-3</v>
      </c>
      <c r="F46">
        <v>0.97499999999999998</v>
      </c>
      <c r="G46">
        <f t="shared" ref="G46:G77" si="2">ABS((F46/100)/($C$12*E46))</f>
        <v>0.19862536897868538</v>
      </c>
    </row>
    <row r="47" spans="2:9" x14ac:dyDescent="0.2">
      <c r="B47">
        <v>1861</v>
      </c>
      <c r="C47">
        <v>1863</v>
      </c>
      <c r="D47">
        <f>C47-B47</f>
        <v>2</v>
      </c>
      <c r="E47">
        <f t="shared" si="1"/>
        <v>3.0679615757712823E-3</v>
      </c>
      <c r="F47">
        <v>1.7749999999999999</v>
      </c>
      <c r="G47">
        <f t="shared" si="2"/>
        <v>0.1808000153523931</v>
      </c>
      <c r="H47" s="13"/>
      <c r="I47" s="13"/>
    </row>
    <row r="48" spans="2:9" x14ac:dyDescent="0.2">
      <c r="B48">
        <v>1861</v>
      </c>
      <c r="C48">
        <v>1864</v>
      </c>
      <c r="D48">
        <f t="shared" ref="D48:D111" si="3">C48-B48</f>
        <v>3</v>
      </c>
      <c r="E48">
        <f t="shared" si="1"/>
        <v>4.6019423636569235E-3</v>
      </c>
      <c r="F48">
        <v>2.5790000000000002</v>
      </c>
      <c r="G48">
        <f t="shared" si="2"/>
        <v>0.17512985524650584</v>
      </c>
    </row>
    <row r="49" spans="2:7" x14ac:dyDescent="0.2">
      <c r="B49">
        <v>1861</v>
      </c>
      <c r="C49">
        <v>1865</v>
      </c>
      <c r="D49">
        <f t="shared" si="3"/>
        <v>4</v>
      </c>
      <c r="E49">
        <f t="shared" si="1"/>
        <v>6.1359231515425647E-3</v>
      </c>
      <c r="F49">
        <v>3.379</v>
      </c>
      <c r="G49">
        <f t="shared" si="2"/>
        <v>0.17209105686640461</v>
      </c>
    </row>
    <row r="50" spans="2:7" x14ac:dyDescent="0.2">
      <c r="B50">
        <v>1861</v>
      </c>
      <c r="C50">
        <v>1866</v>
      </c>
      <c r="D50">
        <f t="shared" si="3"/>
        <v>5</v>
      </c>
      <c r="E50">
        <f t="shared" si="1"/>
        <v>7.6699039394282058E-3</v>
      </c>
      <c r="F50">
        <v>4.1790000000000003</v>
      </c>
      <c r="G50">
        <f t="shared" si="2"/>
        <v>0.17026777783834385</v>
      </c>
    </row>
    <row r="51" spans="2:7" x14ac:dyDescent="0.2">
      <c r="B51">
        <v>1861</v>
      </c>
      <c r="C51">
        <v>1867</v>
      </c>
      <c r="D51">
        <f t="shared" si="3"/>
        <v>6</v>
      </c>
      <c r="E51">
        <f t="shared" si="1"/>
        <v>9.203884727313847E-3</v>
      </c>
      <c r="F51">
        <v>4.9770000000000003</v>
      </c>
      <c r="G51">
        <f t="shared" si="2"/>
        <v>0.16898435237725079</v>
      </c>
    </row>
    <row r="52" spans="2:7" x14ac:dyDescent="0.2">
      <c r="B52">
        <v>1861</v>
      </c>
      <c r="C52">
        <v>1868</v>
      </c>
      <c r="D52">
        <f t="shared" si="3"/>
        <v>7</v>
      </c>
      <c r="E52">
        <f t="shared" si="1"/>
        <v>1.0737865515199488E-2</v>
      </c>
      <c r="F52">
        <v>5.7770000000000001</v>
      </c>
      <c r="G52">
        <f t="shared" si="2"/>
        <v>0.16812582514137223</v>
      </c>
    </row>
    <row r="53" spans="2:7" x14ac:dyDescent="0.2">
      <c r="B53">
        <v>1861</v>
      </c>
      <c r="C53">
        <v>1869</v>
      </c>
      <c r="D53">
        <f t="shared" si="3"/>
        <v>8</v>
      </c>
      <c r="E53">
        <f t="shared" si="1"/>
        <v>1.2271846303085129E-2</v>
      </c>
      <c r="F53">
        <v>6.5780000000000003</v>
      </c>
      <c r="G53">
        <f t="shared" si="2"/>
        <v>0.16750739450535801</v>
      </c>
    </row>
    <row r="54" spans="2:7" x14ac:dyDescent="0.2">
      <c r="B54">
        <v>1861</v>
      </c>
      <c r="C54">
        <v>1870</v>
      </c>
      <c r="D54">
        <f t="shared" si="3"/>
        <v>9</v>
      </c>
      <c r="E54">
        <f t="shared" si="1"/>
        <v>1.3805827090970771E-2</v>
      </c>
      <c r="F54">
        <v>7.3780000000000001</v>
      </c>
      <c r="G54">
        <f t="shared" si="2"/>
        <v>0.167003757529885</v>
      </c>
    </row>
    <row r="55" spans="2:7" x14ac:dyDescent="0.2">
      <c r="B55">
        <v>1861</v>
      </c>
      <c r="C55">
        <v>1871</v>
      </c>
      <c r="D55">
        <f t="shared" si="3"/>
        <v>10</v>
      </c>
      <c r="E55">
        <f t="shared" si="1"/>
        <v>1.5339807878856412E-2</v>
      </c>
      <c r="F55">
        <v>8.1750000000000007</v>
      </c>
      <c r="G55">
        <f t="shared" si="2"/>
        <v>0.16653973245135928</v>
      </c>
    </row>
    <row r="56" spans="2:7" x14ac:dyDescent="0.2">
      <c r="B56">
        <v>1861</v>
      </c>
      <c r="C56">
        <v>1872</v>
      </c>
      <c r="D56">
        <f t="shared" si="3"/>
        <v>11</v>
      </c>
      <c r="E56">
        <f t="shared" si="1"/>
        <v>1.6873788666742051E-2</v>
      </c>
      <c r="F56">
        <v>8.9749999999999996</v>
      </c>
      <c r="G56">
        <f t="shared" si="2"/>
        <v>0.16621563511269943</v>
      </c>
    </row>
    <row r="57" spans="2:7" x14ac:dyDescent="0.2">
      <c r="B57">
        <v>1861</v>
      </c>
      <c r="C57">
        <v>1873</v>
      </c>
      <c r="D57">
        <f t="shared" si="3"/>
        <v>12</v>
      </c>
      <c r="E57">
        <f t="shared" si="1"/>
        <v>1.8407769454627694E-2</v>
      </c>
      <c r="F57">
        <v>9.7759999999999998</v>
      </c>
      <c r="G57">
        <f t="shared" si="2"/>
        <v>0.16596253052441268</v>
      </c>
    </row>
    <row r="58" spans="2:7" x14ac:dyDescent="0.2">
      <c r="B58">
        <v>1861</v>
      </c>
      <c r="C58">
        <v>1874</v>
      </c>
      <c r="D58">
        <f t="shared" si="3"/>
        <v>13</v>
      </c>
      <c r="E58">
        <f t="shared" si="1"/>
        <v>1.9941750242513337E-2</v>
      </c>
      <c r="F58">
        <v>10.577</v>
      </c>
      <c r="G58">
        <f t="shared" si="2"/>
        <v>0.16574836510355465</v>
      </c>
    </row>
    <row r="59" spans="2:7" x14ac:dyDescent="0.2">
      <c r="B59">
        <v>1861</v>
      </c>
      <c r="C59">
        <v>1875</v>
      </c>
      <c r="D59">
        <f t="shared" si="3"/>
        <v>14</v>
      </c>
      <c r="E59">
        <f t="shared" si="1"/>
        <v>2.1475731030398976E-2</v>
      </c>
      <c r="F59">
        <v>11.377000000000001</v>
      </c>
      <c r="G59">
        <f t="shared" si="2"/>
        <v>0.16555024343373653</v>
      </c>
    </row>
    <row r="60" spans="2:7" x14ac:dyDescent="0.2">
      <c r="B60">
        <v>1861</v>
      </c>
      <c r="C60">
        <v>1876</v>
      </c>
      <c r="D60">
        <f t="shared" si="3"/>
        <v>15</v>
      </c>
      <c r="E60">
        <f t="shared" si="1"/>
        <v>2.3009711818284616E-2</v>
      </c>
      <c r="F60">
        <v>12.177</v>
      </c>
      <c r="G60">
        <f t="shared" si="2"/>
        <v>0.16537853798656083</v>
      </c>
    </row>
    <row r="61" spans="2:7" x14ac:dyDescent="0.2">
      <c r="B61">
        <v>1861</v>
      </c>
      <c r="C61">
        <v>1877</v>
      </c>
      <c r="D61">
        <f t="shared" si="3"/>
        <v>16</v>
      </c>
      <c r="E61">
        <f t="shared" si="1"/>
        <v>2.4543692606170259E-2</v>
      </c>
      <c r="F61">
        <v>12.975</v>
      </c>
      <c r="G61">
        <f t="shared" si="2"/>
        <v>0.16520283092938737</v>
      </c>
    </row>
    <row r="62" spans="2:7" x14ac:dyDescent="0.2">
      <c r="B62">
        <v>1861</v>
      </c>
      <c r="C62">
        <v>1878</v>
      </c>
      <c r="D62">
        <f t="shared" si="3"/>
        <v>17</v>
      </c>
      <c r="E62">
        <f t="shared" si="1"/>
        <v>2.6077673394055902E-2</v>
      </c>
      <c r="F62">
        <v>13.775</v>
      </c>
      <c r="G62">
        <f t="shared" si="2"/>
        <v>0.16507176215272346</v>
      </c>
    </row>
    <row r="63" spans="2:7" x14ac:dyDescent="0.2">
      <c r="B63">
        <v>1861</v>
      </c>
      <c r="C63">
        <v>1879</v>
      </c>
      <c r="D63">
        <f t="shared" si="3"/>
        <v>18</v>
      </c>
      <c r="E63">
        <f t="shared" si="1"/>
        <v>2.7611654181941541E-2</v>
      </c>
      <c r="F63">
        <v>14.574999999999999</v>
      </c>
      <c r="G63">
        <f t="shared" si="2"/>
        <v>0.16495525657346663</v>
      </c>
    </row>
    <row r="64" spans="2:7" x14ac:dyDescent="0.2">
      <c r="B64">
        <v>1861</v>
      </c>
      <c r="C64">
        <v>1880</v>
      </c>
      <c r="D64">
        <f t="shared" si="3"/>
        <v>19</v>
      </c>
      <c r="E64">
        <f t="shared" si="1"/>
        <v>2.914563496982718E-2</v>
      </c>
      <c r="F64">
        <v>15.375</v>
      </c>
      <c r="G64">
        <f t="shared" si="2"/>
        <v>0.16485101473939476</v>
      </c>
    </row>
    <row r="65" spans="2:7" x14ac:dyDescent="0.2">
      <c r="B65">
        <v>1861</v>
      </c>
      <c r="C65">
        <v>1881</v>
      </c>
      <c r="D65">
        <f t="shared" si="3"/>
        <v>20</v>
      </c>
      <c r="E65">
        <f t="shared" si="1"/>
        <v>3.0679615757712823E-2</v>
      </c>
      <c r="F65">
        <v>16.175000000000001</v>
      </c>
      <c r="G65">
        <f t="shared" si="2"/>
        <v>0.16475719708873007</v>
      </c>
    </row>
    <row r="66" spans="2:7" x14ac:dyDescent="0.2">
      <c r="B66">
        <v>1861</v>
      </c>
      <c r="C66">
        <v>1882</v>
      </c>
      <c r="D66">
        <f t="shared" si="3"/>
        <v>21</v>
      </c>
      <c r="E66">
        <f t="shared" si="1"/>
        <v>3.2213596545598466E-2</v>
      </c>
      <c r="F66">
        <v>16.975000000000001</v>
      </c>
      <c r="G66">
        <f t="shared" si="2"/>
        <v>0.16467231445241437</v>
      </c>
    </row>
    <row r="67" spans="2:7" x14ac:dyDescent="0.2">
      <c r="B67">
        <v>1861</v>
      </c>
      <c r="C67">
        <v>1883</v>
      </c>
      <c r="D67">
        <f t="shared" si="3"/>
        <v>22</v>
      </c>
      <c r="E67">
        <f t="shared" si="1"/>
        <v>3.3747577333484102E-2</v>
      </c>
      <c r="F67">
        <v>17.774999999999999</v>
      </c>
      <c r="G67">
        <f t="shared" si="2"/>
        <v>0.16459514841940015</v>
      </c>
    </row>
    <row r="68" spans="2:7" x14ac:dyDescent="0.2">
      <c r="B68">
        <v>1861</v>
      </c>
      <c r="C68">
        <v>1884</v>
      </c>
      <c r="D68">
        <f t="shared" si="3"/>
        <v>23</v>
      </c>
      <c r="E68">
        <f t="shared" si="1"/>
        <v>3.5281558121369745E-2</v>
      </c>
      <c r="F68">
        <v>18.574999999999999</v>
      </c>
      <c r="G68">
        <f t="shared" si="2"/>
        <v>0.16452469247621321</v>
      </c>
    </row>
    <row r="69" spans="2:7" x14ac:dyDescent="0.2">
      <c r="B69">
        <v>1861</v>
      </c>
      <c r="C69">
        <v>1885</v>
      </c>
      <c r="D69">
        <f t="shared" si="3"/>
        <v>24</v>
      </c>
      <c r="E69">
        <f t="shared" si="1"/>
        <v>3.6815538909255388E-2</v>
      </c>
      <c r="F69">
        <v>19.375</v>
      </c>
      <c r="G69">
        <f t="shared" si="2"/>
        <v>0.16446010786162518</v>
      </c>
    </row>
    <row r="70" spans="2:7" x14ac:dyDescent="0.2">
      <c r="B70">
        <v>1861</v>
      </c>
      <c r="C70">
        <v>1886</v>
      </c>
      <c r="D70">
        <f t="shared" si="3"/>
        <v>25</v>
      </c>
      <c r="E70">
        <f t="shared" si="1"/>
        <v>3.8349519697141031E-2</v>
      </c>
      <c r="F70">
        <v>20.172000000000001</v>
      </c>
      <c r="G70">
        <f t="shared" si="2"/>
        <v>0.16437624381694529</v>
      </c>
    </row>
    <row r="71" spans="2:7" x14ac:dyDescent="0.2">
      <c r="B71">
        <v>1861</v>
      </c>
      <c r="C71">
        <v>1887</v>
      </c>
      <c r="D71">
        <f t="shared" si="3"/>
        <v>26</v>
      </c>
      <c r="E71">
        <f t="shared" si="1"/>
        <v>3.9883500485026674E-2</v>
      </c>
      <c r="F71">
        <v>20.972999999999999</v>
      </c>
      <c r="G71">
        <f t="shared" si="2"/>
        <v>0.16433017213372655</v>
      </c>
    </row>
    <row r="72" spans="2:7" x14ac:dyDescent="0.2">
      <c r="B72">
        <v>1861</v>
      </c>
      <c r="C72">
        <v>1888</v>
      </c>
      <c r="D72">
        <f t="shared" si="3"/>
        <v>27</v>
      </c>
      <c r="E72">
        <f t="shared" si="1"/>
        <v>4.141748127291231E-2</v>
      </c>
      <c r="F72">
        <v>21.771999999999998</v>
      </c>
      <c r="G72">
        <f t="shared" si="2"/>
        <v>0.16427242292132718</v>
      </c>
    </row>
    <row r="73" spans="2:7" x14ac:dyDescent="0.2">
      <c r="B73">
        <v>1861</v>
      </c>
      <c r="C73">
        <v>1889</v>
      </c>
      <c r="D73">
        <f t="shared" si="3"/>
        <v>28</v>
      </c>
      <c r="E73">
        <f t="shared" si="1"/>
        <v>4.2951462060797953E-2</v>
      </c>
      <c r="F73">
        <v>22.571999999999999</v>
      </c>
      <c r="G73">
        <f t="shared" si="2"/>
        <v>0.16422607430721198</v>
      </c>
    </row>
    <row r="74" spans="2:7" x14ac:dyDescent="0.2">
      <c r="B74">
        <v>1861</v>
      </c>
      <c r="C74">
        <v>1890</v>
      </c>
      <c r="D74">
        <f t="shared" si="3"/>
        <v>29</v>
      </c>
      <c r="E74">
        <f t="shared" si="1"/>
        <v>4.4485442848683596E-2</v>
      </c>
      <c r="F74">
        <v>23.37</v>
      </c>
      <c r="G74">
        <f t="shared" si="2"/>
        <v>0.16416887260943863</v>
      </c>
    </row>
    <row r="75" spans="2:7" x14ac:dyDescent="0.2">
      <c r="B75">
        <v>1861</v>
      </c>
      <c r="C75">
        <v>1891</v>
      </c>
      <c r="D75">
        <f t="shared" si="3"/>
        <v>30</v>
      </c>
      <c r="E75">
        <f t="shared" si="1"/>
        <v>4.6019423636569232E-2</v>
      </c>
      <c r="F75">
        <v>24.172000000000001</v>
      </c>
      <c r="G75">
        <f t="shared" si="2"/>
        <v>0.16414264680180457</v>
      </c>
    </row>
    <row r="76" spans="2:7" x14ac:dyDescent="0.2">
      <c r="B76">
        <v>1861</v>
      </c>
      <c r="C76">
        <v>1892</v>
      </c>
      <c r="D76">
        <f t="shared" si="3"/>
        <v>31</v>
      </c>
      <c r="E76">
        <f t="shared" si="1"/>
        <v>4.7553404424454875E-2</v>
      </c>
      <c r="F76">
        <v>24.97</v>
      </c>
      <c r="G76">
        <f t="shared" si="2"/>
        <v>0.16409182674599748</v>
      </c>
    </row>
    <row r="77" spans="2:7" x14ac:dyDescent="0.2">
      <c r="B77">
        <v>1861</v>
      </c>
      <c r="C77">
        <v>1893</v>
      </c>
      <c r="D77">
        <f t="shared" si="3"/>
        <v>32</v>
      </c>
      <c r="E77">
        <f t="shared" si="1"/>
        <v>4.9087385212340517E-2</v>
      </c>
      <c r="F77">
        <v>25.77</v>
      </c>
      <c r="G77">
        <f t="shared" si="2"/>
        <v>0.1640569153391257</v>
      </c>
    </row>
    <row r="78" spans="2:7" x14ac:dyDescent="0.2">
      <c r="B78">
        <v>1861</v>
      </c>
      <c r="C78">
        <v>1894</v>
      </c>
      <c r="D78">
        <f t="shared" si="3"/>
        <v>33</v>
      </c>
      <c r="E78">
        <f t="shared" ref="E78:E109" si="4">ABS((D78/$C$4) * 2 * PI())</f>
        <v>5.062136600022616E-2</v>
      </c>
      <c r="F78">
        <v>26.57</v>
      </c>
      <c r="G78">
        <f t="shared" ref="G78:G109" si="5">ABS((F78/100)/($C$12*E78))</f>
        <v>0.16402411977509465</v>
      </c>
    </row>
    <row r="79" spans="2:7" x14ac:dyDescent="0.2">
      <c r="B79">
        <v>1861</v>
      </c>
      <c r="C79">
        <v>1895</v>
      </c>
      <c r="D79">
        <f t="shared" si="3"/>
        <v>34</v>
      </c>
      <c r="E79">
        <f t="shared" si="4"/>
        <v>5.2155346788111803E-2</v>
      </c>
      <c r="F79">
        <v>27.37</v>
      </c>
      <c r="G79">
        <f t="shared" si="5"/>
        <v>0.16399325336188894</v>
      </c>
    </row>
    <row r="80" spans="2:7" x14ac:dyDescent="0.2">
      <c r="B80">
        <v>1861</v>
      </c>
      <c r="C80">
        <v>1896</v>
      </c>
      <c r="D80">
        <f t="shared" si="3"/>
        <v>35</v>
      </c>
      <c r="E80">
        <f t="shared" si="4"/>
        <v>5.3689327575997439E-2</v>
      </c>
      <c r="F80">
        <v>28.17</v>
      </c>
      <c r="G80">
        <f t="shared" si="5"/>
        <v>0.16396415074372359</v>
      </c>
    </row>
    <row r="81" spans="2:7" x14ac:dyDescent="0.2">
      <c r="B81">
        <v>1861</v>
      </c>
      <c r="C81">
        <v>1897</v>
      </c>
      <c r="D81">
        <f t="shared" si="3"/>
        <v>36</v>
      </c>
      <c r="E81">
        <f t="shared" si="4"/>
        <v>5.5223308363883082E-2</v>
      </c>
      <c r="F81">
        <v>28.97</v>
      </c>
      <c r="G81">
        <f t="shared" si="5"/>
        <v>0.16393666493767853</v>
      </c>
    </row>
    <row r="82" spans="2:7" x14ac:dyDescent="0.2">
      <c r="B82">
        <v>1861</v>
      </c>
      <c r="C82">
        <v>1898</v>
      </c>
      <c r="D82">
        <f t="shared" si="3"/>
        <v>37</v>
      </c>
      <c r="E82">
        <f t="shared" si="4"/>
        <v>5.6757289151768725E-2</v>
      </c>
      <c r="F82">
        <v>29.77</v>
      </c>
      <c r="G82">
        <f t="shared" si="5"/>
        <v>0.16391066485087913</v>
      </c>
    </row>
    <row r="83" spans="2:7" x14ac:dyDescent="0.2">
      <c r="B83">
        <v>1861</v>
      </c>
      <c r="C83">
        <v>1899</v>
      </c>
      <c r="D83">
        <f t="shared" si="3"/>
        <v>38</v>
      </c>
      <c r="E83">
        <f t="shared" si="4"/>
        <v>5.8291269939654361E-2</v>
      </c>
      <c r="F83">
        <v>30.565000000000001</v>
      </c>
      <c r="G83">
        <f t="shared" si="5"/>
        <v>0.16385922814665371</v>
      </c>
    </row>
    <row r="84" spans="2:7" x14ac:dyDescent="0.2">
      <c r="B84">
        <v>1861</v>
      </c>
      <c r="C84">
        <v>1900</v>
      </c>
      <c r="D84">
        <f t="shared" si="3"/>
        <v>39</v>
      </c>
      <c r="E84">
        <f t="shared" si="4"/>
        <v>5.9825250727540004E-2</v>
      </c>
      <c r="F84">
        <v>31.363</v>
      </c>
      <c r="G84">
        <f t="shared" si="5"/>
        <v>0.16382609986268271</v>
      </c>
    </row>
    <row r="85" spans="2:7" x14ac:dyDescent="0.2">
      <c r="B85">
        <v>1861</v>
      </c>
      <c r="C85">
        <v>1901</v>
      </c>
      <c r="D85">
        <f t="shared" si="3"/>
        <v>40</v>
      </c>
      <c r="E85">
        <f t="shared" si="4"/>
        <v>6.1359231515425647E-2</v>
      </c>
      <c r="F85">
        <v>32.17</v>
      </c>
      <c r="G85">
        <f t="shared" si="5"/>
        <v>0.16384046461652077</v>
      </c>
    </row>
    <row r="86" spans="2:7" x14ac:dyDescent="0.2">
      <c r="B86">
        <v>1861</v>
      </c>
      <c r="C86">
        <v>1902</v>
      </c>
      <c r="D86">
        <f t="shared" si="3"/>
        <v>41</v>
      </c>
      <c r="E86">
        <f t="shared" si="4"/>
        <v>6.2893212303311283E-2</v>
      </c>
      <c r="F86">
        <v>32.968000000000004</v>
      </c>
      <c r="G86">
        <f t="shared" si="5"/>
        <v>0.16380940999347846</v>
      </c>
    </row>
    <row r="87" spans="2:7" x14ac:dyDescent="0.2">
      <c r="B87">
        <v>1861</v>
      </c>
      <c r="C87">
        <v>1903</v>
      </c>
      <c r="D87">
        <f t="shared" si="3"/>
        <v>42</v>
      </c>
      <c r="E87">
        <f t="shared" si="4"/>
        <v>6.4427193091196933E-2</v>
      </c>
      <c r="F87">
        <v>33.767000000000003</v>
      </c>
      <c r="G87">
        <f t="shared" si="5"/>
        <v>0.16378468459837045</v>
      </c>
    </row>
    <row r="88" spans="2:7" x14ac:dyDescent="0.2">
      <c r="B88">
        <v>1861</v>
      </c>
      <c r="C88">
        <v>1904</v>
      </c>
      <c r="D88">
        <f t="shared" si="3"/>
        <v>43</v>
      </c>
      <c r="E88">
        <f t="shared" si="4"/>
        <v>6.5961173879082569E-2</v>
      </c>
      <c r="F88">
        <v>34.567999999999998</v>
      </c>
      <c r="G88">
        <f t="shared" si="5"/>
        <v>0.16377058449267015</v>
      </c>
    </row>
    <row r="89" spans="2:7" x14ac:dyDescent="0.2">
      <c r="B89">
        <v>1861</v>
      </c>
      <c r="C89">
        <v>1905</v>
      </c>
      <c r="D89">
        <f t="shared" si="3"/>
        <v>44</v>
      </c>
      <c r="E89">
        <f t="shared" si="4"/>
        <v>6.7495154666968205E-2</v>
      </c>
      <c r="F89">
        <v>35.36</v>
      </c>
      <c r="G89">
        <f t="shared" si="5"/>
        <v>0.16371545564303766</v>
      </c>
    </row>
    <row r="90" spans="2:7" x14ac:dyDescent="0.2">
      <c r="B90">
        <v>1861</v>
      </c>
      <c r="C90">
        <v>1906</v>
      </c>
      <c r="D90">
        <f t="shared" si="3"/>
        <v>45</v>
      </c>
      <c r="E90">
        <f t="shared" si="4"/>
        <v>6.9029135454853854E-2</v>
      </c>
      <c r="F90">
        <v>36.167999999999999</v>
      </c>
      <c r="G90">
        <f t="shared" si="5"/>
        <v>0.16373521014748929</v>
      </c>
    </row>
    <row r="91" spans="2:7" x14ac:dyDescent="0.2">
      <c r="B91">
        <v>1861</v>
      </c>
      <c r="C91">
        <v>1907</v>
      </c>
      <c r="D91">
        <f t="shared" si="3"/>
        <v>46</v>
      </c>
      <c r="E91">
        <f t="shared" si="4"/>
        <v>7.056311624273949E-2</v>
      </c>
      <c r="F91">
        <v>36.965000000000003</v>
      </c>
      <c r="G91">
        <f t="shared" si="5"/>
        <v>0.16370539050829669</v>
      </c>
    </row>
    <row r="92" spans="2:7" x14ac:dyDescent="0.2">
      <c r="B92">
        <v>1861</v>
      </c>
      <c r="C92">
        <v>1908</v>
      </c>
      <c r="D92">
        <f t="shared" si="3"/>
        <v>47</v>
      </c>
      <c r="E92">
        <f t="shared" si="4"/>
        <v>7.209709703062514E-2</v>
      </c>
      <c r="F92">
        <v>37.765000000000001</v>
      </c>
      <c r="G92">
        <f t="shared" si="5"/>
        <v>0.16368984308739887</v>
      </c>
    </row>
    <row r="93" spans="2:7" x14ac:dyDescent="0.2">
      <c r="B93">
        <v>1861</v>
      </c>
      <c r="C93">
        <v>1909</v>
      </c>
      <c r="D93">
        <f t="shared" si="3"/>
        <v>48</v>
      </c>
      <c r="E93">
        <f t="shared" si="4"/>
        <v>7.3631077818510776E-2</v>
      </c>
      <c r="F93">
        <v>38.564999999999998</v>
      </c>
      <c r="G93">
        <f t="shared" si="5"/>
        <v>0.16367494347570516</v>
      </c>
    </row>
    <row r="94" spans="2:7" x14ac:dyDescent="0.2">
      <c r="B94">
        <v>1861</v>
      </c>
      <c r="C94">
        <v>1910</v>
      </c>
      <c r="D94">
        <f t="shared" si="3"/>
        <v>49</v>
      </c>
      <c r="E94">
        <f t="shared" si="4"/>
        <v>7.5165058606396412E-2</v>
      </c>
      <c r="F94">
        <v>39.365000000000002</v>
      </c>
      <c r="G94">
        <f t="shared" si="5"/>
        <v>0.16366065201142754</v>
      </c>
    </row>
    <row r="95" spans="2:7" x14ac:dyDescent="0.2">
      <c r="B95">
        <v>1861</v>
      </c>
      <c r="C95">
        <v>1911</v>
      </c>
      <c r="D95">
        <f t="shared" si="3"/>
        <v>50</v>
      </c>
      <c r="E95">
        <f t="shared" si="4"/>
        <v>7.6699039394282062E-2</v>
      </c>
      <c r="F95">
        <v>40.164999999999999</v>
      </c>
      <c r="G95">
        <f t="shared" si="5"/>
        <v>0.16364693220572099</v>
      </c>
    </row>
    <row r="96" spans="2:7" x14ac:dyDescent="0.2">
      <c r="B96">
        <v>1861</v>
      </c>
      <c r="C96">
        <v>1912</v>
      </c>
      <c r="D96">
        <f t="shared" si="3"/>
        <v>51</v>
      </c>
      <c r="E96">
        <f t="shared" si="4"/>
        <v>7.8233020182167698E-2</v>
      </c>
      <c r="F96">
        <v>40.965000000000003</v>
      </c>
      <c r="G96">
        <f t="shared" si="5"/>
        <v>0.1636337504316108</v>
      </c>
    </row>
    <row r="97" spans="2:7" x14ac:dyDescent="0.2">
      <c r="B97">
        <v>1861</v>
      </c>
      <c r="C97">
        <v>1913</v>
      </c>
      <c r="D97">
        <f t="shared" si="3"/>
        <v>52</v>
      </c>
      <c r="E97">
        <f t="shared" si="4"/>
        <v>7.9767000970053348E-2</v>
      </c>
      <c r="F97">
        <v>41.765000000000001</v>
      </c>
      <c r="G97">
        <f t="shared" si="5"/>
        <v>0.16362107564881251</v>
      </c>
    </row>
    <row r="98" spans="2:7" x14ac:dyDescent="0.2">
      <c r="B98">
        <v>1861</v>
      </c>
      <c r="C98">
        <v>1914</v>
      </c>
      <c r="D98">
        <f t="shared" si="3"/>
        <v>53</v>
      </c>
      <c r="E98">
        <f t="shared" si="4"/>
        <v>8.1300981757938984E-2</v>
      </c>
      <c r="F98">
        <v>42.564999999999998</v>
      </c>
      <c r="G98">
        <f t="shared" si="5"/>
        <v>0.16360887915970473</v>
      </c>
    </row>
    <row r="99" spans="2:7" x14ac:dyDescent="0.2">
      <c r="B99">
        <v>1861</v>
      </c>
      <c r="C99">
        <v>1915</v>
      </c>
      <c r="D99">
        <f t="shared" si="3"/>
        <v>54</v>
      </c>
      <c r="E99">
        <f t="shared" si="4"/>
        <v>8.283496254582462E-2</v>
      </c>
      <c r="F99">
        <v>43.363</v>
      </c>
      <c r="G99">
        <f t="shared" si="5"/>
        <v>0.16358958926918776</v>
      </c>
    </row>
    <row r="100" spans="2:7" x14ac:dyDescent="0.2">
      <c r="B100">
        <v>1861</v>
      </c>
      <c r="C100">
        <v>1916</v>
      </c>
      <c r="D100">
        <f t="shared" si="3"/>
        <v>55</v>
      </c>
      <c r="E100">
        <f t="shared" si="4"/>
        <v>8.436894333371027E-2</v>
      </c>
      <c r="F100">
        <v>44.162999999999997</v>
      </c>
      <c r="G100">
        <f t="shared" si="5"/>
        <v>0.16357840876840432</v>
      </c>
    </row>
    <row r="101" spans="2:7" x14ac:dyDescent="0.2">
      <c r="B101">
        <v>1861</v>
      </c>
      <c r="C101">
        <v>1917</v>
      </c>
      <c r="D101">
        <f t="shared" si="3"/>
        <v>56</v>
      </c>
      <c r="E101">
        <f t="shared" si="4"/>
        <v>8.5902924121595906E-2</v>
      </c>
      <c r="F101">
        <v>44.962000000000003</v>
      </c>
      <c r="G101">
        <f t="shared" si="5"/>
        <v>0.16356398974394967</v>
      </c>
    </row>
    <row r="102" spans="2:7" x14ac:dyDescent="0.2">
      <c r="B102">
        <v>1861</v>
      </c>
      <c r="C102">
        <v>1918</v>
      </c>
      <c r="D102">
        <f t="shared" si="3"/>
        <v>57</v>
      </c>
      <c r="E102">
        <f t="shared" si="4"/>
        <v>8.7436904909481541E-2</v>
      </c>
      <c r="F102">
        <v>45.762999999999998</v>
      </c>
      <c r="G102">
        <f t="shared" si="5"/>
        <v>0.16355722466165684</v>
      </c>
    </row>
    <row r="103" spans="2:7" x14ac:dyDescent="0.2">
      <c r="B103">
        <v>1861</v>
      </c>
      <c r="C103">
        <v>1919</v>
      </c>
      <c r="D103">
        <f t="shared" si="3"/>
        <v>58</v>
      </c>
      <c r="E103">
        <f t="shared" si="4"/>
        <v>8.8970885697367191E-2</v>
      </c>
      <c r="F103">
        <v>46.561999999999998</v>
      </c>
      <c r="G103">
        <f t="shared" si="5"/>
        <v>0.16354366808816176</v>
      </c>
    </row>
    <row r="104" spans="2:7" x14ac:dyDescent="0.2">
      <c r="B104">
        <v>1861</v>
      </c>
      <c r="C104">
        <v>1920</v>
      </c>
      <c r="D104">
        <f t="shared" si="3"/>
        <v>59</v>
      </c>
      <c r="E104">
        <f t="shared" si="4"/>
        <v>9.0504866485252827E-2</v>
      </c>
      <c r="F104">
        <v>47.365000000000002</v>
      </c>
      <c r="G104">
        <f t="shared" si="5"/>
        <v>0.16354438247154165</v>
      </c>
    </row>
    <row r="105" spans="2:7" x14ac:dyDescent="0.2">
      <c r="B105">
        <v>1861</v>
      </c>
      <c r="C105">
        <v>1921</v>
      </c>
      <c r="D105">
        <f t="shared" si="3"/>
        <v>60</v>
      </c>
      <c r="E105">
        <f t="shared" si="4"/>
        <v>9.2038847273138463E-2</v>
      </c>
      <c r="F105">
        <v>48.162999999999997</v>
      </c>
      <c r="G105">
        <f t="shared" si="5"/>
        <v>0.16352809651487904</v>
      </c>
    </row>
    <row r="106" spans="2:7" x14ac:dyDescent="0.2">
      <c r="B106">
        <v>1861</v>
      </c>
      <c r="C106">
        <v>1922</v>
      </c>
      <c r="D106">
        <f t="shared" si="3"/>
        <v>61</v>
      </c>
      <c r="E106">
        <f t="shared" si="4"/>
        <v>9.3572828061024113E-2</v>
      </c>
      <c r="F106">
        <v>48.965000000000003</v>
      </c>
      <c r="G106">
        <f t="shared" si="5"/>
        <v>0.16352570310283868</v>
      </c>
    </row>
    <row r="107" spans="2:7" x14ac:dyDescent="0.2">
      <c r="B107">
        <v>1861</v>
      </c>
      <c r="C107">
        <v>1923</v>
      </c>
      <c r="D107">
        <f t="shared" si="3"/>
        <v>62</v>
      </c>
      <c r="E107">
        <f t="shared" si="4"/>
        <v>9.5106808848909749E-2</v>
      </c>
      <c r="F107">
        <v>49.765000000000001</v>
      </c>
      <c r="G107">
        <f t="shared" si="5"/>
        <v>0.16351681533869775</v>
      </c>
    </row>
    <row r="108" spans="2:7" x14ac:dyDescent="0.2">
      <c r="B108">
        <v>1861</v>
      </c>
      <c r="C108">
        <v>1924</v>
      </c>
      <c r="D108">
        <f t="shared" si="3"/>
        <v>63</v>
      </c>
      <c r="E108">
        <f t="shared" si="4"/>
        <v>9.6640789636795399E-2</v>
      </c>
      <c r="F108">
        <v>50.563000000000002</v>
      </c>
      <c r="G108">
        <f t="shared" si="5"/>
        <v>0.16350174247731819</v>
      </c>
    </row>
    <row r="109" spans="2:7" x14ac:dyDescent="0.2">
      <c r="B109">
        <v>1861</v>
      </c>
      <c r="C109">
        <v>1925</v>
      </c>
      <c r="D109">
        <f t="shared" si="3"/>
        <v>64</v>
      </c>
      <c r="E109">
        <f t="shared" si="4"/>
        <v>9.8174770424681035E-2</v>
      </c>
      <c r="F109">
        <v>51.36</v>
      </c>
      <c r="G109">
        <f t="shared" si="5"/>
        <v>0.16348395754399489</v>
      </c>
    </row>
    <row r="110" spans="2:7" x14ac:dyDescent="0.2">
      <c r="B110">
        <v>1861</v>
      </c>
      <c r="C110">
        <v>1926</v>
      </c>
      <c r="D110">
        <f t="shared" si="3"/>
        <v>65</v>
      </c>
      <c r="E110">
        <f t="shared" ref="E110:E141" si="6">ABS((D110/$C$4) * 2 * PI())</f>
        <v>9.9708751212566671E-2</v>
      </c>
      <c r="F110">
        <v>52.155000000000001</v>
      </c>
      <c r="G110">
        <f t="shared" ref="G110:G141" si="7">ABS((F110/100)/($C$12*E110))</f>
        <v>0.16346045158316902</v>
      </c>
    </row>
    <row r="111" spans="2:7" x14ac:dyDescent="0.2">
      <c r="B111">
        <v>1861</v>
      </c>
      <c r="C111">
        <v>1927</v>
      </c>
      <c r="D111">
        <f t="shared" si="3"/>
        <v>66</v>
      </c>
      <c r="E111">
        <f t="shared" si="6"/>
        <v>0.10124273200045232</v>
      </c>
      <c r="F111">
        <v>52.95</v>
      </c>
      <c r="G111">
        <f t="shared" si="7"/>
        <v>0.16343765792418635</v>
      </c>
    </row>
    <row r="112" spans="2:7" x14ac:dyDescent="0.2">
      <c r="B112">
        <v>1861</v>
      </c>
      <c r="C112">
        <v>1928</v>
      </c>
      <c r="D112">
        <f t="shared" ref="D112:D144" si="8">C112-B112</f>
        <v>67</v>
      </c>
      <c r="E112">
        <f t="shared" si="6"/>
        <v>0.10277671278833796</v>
      </c>
      <c r="F112">
        <v>53.77</v>
      </c>
      <c r="G112">
        <f t="shared" si="7"/>
        <v>0.16349155897411274</v>
      </c>
    </row>
    <row r="113" spans="2:7" x14ac:dyDescent="0.2">
      <c r="B113">
        <v>1861</v>
      </c>
      <c r="C113">
        <v>1929</v>
      </c>
      <c r="D113">
        <f t="shared" si="8"/>
        <v>68</v>
      </c>
      <c r="E113">
        <f t="shared" si="6"/>
        <v>0.10431069357622361</v>
      </c>
      <c r="F113">
        <v>54.56</v>
      </c>
      <c r="G113">
        <f t="shared" si="7"/>
        <v>0.1634539989664717</v>
      </c>
    </row>
    <row r="114" spans="2:7" x14ac:dyDescent="0.2">
      <c r="B114">
        <v>1861</v>
      </c>
      <c r="C114">
        <v>1930</v>
      </c>
      <c r="D114">
        <f t="shared" si="8"/>
        <v>69</v>
      </c>
      <c r="E114">
        <f t="shared" si="6"/>
        <v>0.10584467436410924</v>
      </c>
      <c r="F114">
        <v>55.36</v>
      </c>
      <c r="G114">
        <f t="shared" si="7"/>
        <v>0.16344705204994459</v>
      </c>
    </row>
    <row r="115" spans="2:7" x14ac:dyDescent="0.2">
      <c r="B115">
        <v>1861</v>
      </c>
      <c r="C115">
        <v>1931</v>
      </c>
      <c r="D115">
        <f t="shared" si="8"/>
        <v>70</v>
      </c>
      <c r="E115">
        <f t="shared" si="6"/>
        <v>0.10737865515199488</v>
      </c>
      <c r="F115">
        <v>56.158000000000001</v>
      </c>
      <c r="G115">
        <f t="shared" si="7"/>
        <v>0.16343448309311376</v>
      </c>
    </row>
    <row r="116" spans="2:7" x14ac:dyDescent="0.2">
      <c r="B116">
        <v>1861</v>
      </c>
      <c r="C116">
        <v>1932</v>
      </c>
      <c r="D116">
        <f t="shared" si="8"/>
        <v>71</v>
      </c>
      <c r="E116">
        <f t="shared" si="6"/>
        <v>0.10891263593988053</v>
      </c>
      <c r="F116">
        <v>56.954999999999998</v>
      </c>
      <c r="G116">
        <f t="shared" si="7"/>
        <v>0.16341939891919141</v>
      </c>
    </row>
    <row r="117" spans="2:7" x14ac:dyDescent="0.2">
      <c r="B117">
        <v>1861</v>
      </c>
      <c r="C117">
        <v>1933</v>
      </c>
      <c r="D117">
        <f t="shared" si="8"/>
        <v>72</v>
      </c>
      <c r="E117">
        <f t="shared" si="6"/>
        <v>0.11044661672776616</v>
      </c>
      <c r="F117">
        <v>57.75</v>
      </c>
      <c r="G117">
        <f t="shared" si="7"/>
        <v>0.16339907490767921</v>
      </c>
    </row>
    <row r="118" spans="2:7" x14ac:dyDescent="0.2">
      <c r="B118">
        <v>1861</v>
      </c>
      <c r="C118">
        <v>1934</v>
      </c>
      <c r="D118">
        <f t="shared" si="8"/>
        <v>73</v>
      </c>
      <c r="E118">
        <f t="shared" si="6"/>
        <v>0.1119805975156518</v>
      </c>
      <c r="F118">
        <v>58.55</v>
      </c>
      <c r="G118">
        <f t="shared" si="7"/>
        <v>0.16339326102847954</v>
      </c>
    </row>
    <row r="119" spans="2:7" x14ac:dyDescent="0.2">
      <c r="B119">
        <v>1861</v>
      </c>
      <c r="C119">
        <v>1935</v>
      </c>
      <c r="D119">
        <f t="shared" si="8"/>
        <v>74</v>
      </c>
      <c r="E119">
        <f t="shared" si="6"/>
        <v>0.11351457830353745</v>
      </c>
      <c r="F119">
        <v>59.354999999999997</v>
      </c>
      <c r="G119">
        <f t="shared" si="7"/>
        <v>0.16340136903298505</v>
      </c>
    </row>
    <row r="120" spans="2:7" x14ac:dyDescent="0.2">
      <c r="B120">
        <v>1861</v>
      </c>
      <c r="C120">
        <v>1936</v>
      </c>
      <c r="D120">
        <f t="shared" si="8"/>
        <v>75</v>
      </c>
      <c r="E120">
        <f t="shared" si="6"/>
        <v>0.11504855909142309</v>
      </c>
      <c r="F120">
        <v>60.158000000000001</v>
      </c>
      <c r="G120">
        <f t="shared" si="7"/>
        <v>0.16340382833531289</v>
      </c>
    </row>
    <row r="121" spans="2:7" x14ac:dyDescent="0.2">
      <c r="B121">
        <v>1861</v>
      </c>
      <c r="C121">
        <v>1937</v>
      </c>
      <c r="D121">
        <f t="shared" si="8"/>
        <v>76</v>
      </c>
      <c r="E121">
        <f t="shared" si="6"/>
        <v>0.11658253987930872</v>
      </c>
      <c r="F121">
        <v>60.95</v>
      </c>
      <c r="G121">
        <f t="shared" si="7"/>
        <v>0.16337673737180669</v>
      </c>
    </row>
    <row r="122" spans="2:7" x14ac:dyDescent="0.2">
      <c r="B122">
        <v>1861</v>
      </c>
      <c r="C122">
        <v>1938</v>
      </c>
      <c r="D122">
        <f t="shared" si="8"/>
        <v>77</v>
      </c>
      <c r="E122">
        <f t="shared" si="6"/>
        <v>0.11811652066719437</v>
      </c>
      <c r="F122">
        <v>61.753999999999998</v>
      </c>
      <c r="G122">
        <f t="shared" si="7"/>
        <v>0.16338209838041606</v>
      </c>
    </row>
    <row r="123" spans="2:7" x14ac:dyDescent="0.2">
      <c r="B123">
        <v>1861</v>
      </c>
      <c r="C123">
        <v>1939</v>
      </c>
      <c r="D123">
        <f t="shared" si="8"/>
        <v>78</v>
      </c>
      <c r="E123">
        <f t="shared" si="6"/>
        <v>0.11965050145508001</v>
      </c>
      <c r="F123">
        <v>62.555</v>
      </c>
      <c r="G123">
        <f t="shared" si="7"/>
        <v>0.163379486606991</v>
      </c>
    </row>
    <row r="124" spans="2:7" x14ac:dyDescent="0.2">
      <c r="B124">
        <v>1861</v>
      </c>
      <c r="C124">
        <v>1940</v>
      </c>
      <c r="D124">
        <f t="shared" si="8"/>
        <v>79</v>
      </c>
      <c r="E124">
        <f t="shared" si="6"/>
        <v>0.12118448224296566</v>
      </c>
      <c r="F124">
        <v>63.35</v>
      </c>
      <c r="G124">
        <f t="shared" si="7"/>
        <v>0.16336146867640014</v>
      </c>
    </row>
    <row r="125" spans="2:7" x14ac:dyDescent="0.2">
      <c r="B125">
        <v>1861</v>
      </c>
      <c r="C125">
        <v>1941</v>
      </c>
      <c r="D125">
        <f t="shared" si="8"/>
        <v>80</v>
      </c>
      <c r="E125">
        <f t="shared" si="6"/>
        <v>0.12271846303085129</v>
      </c>
      <c r="F125">
        <v>64.150000000000006</v>
      </c>
      <c r="G125">
        <f t="shared" si="7"/>
        <v>0.16335663358952141</v>
      </c>
    </row>
    <row r="126" spans="2:7" x14ac:dyDescent="0.2">
      <c r="B126">
        <v>1861</v>
      </c>
      <c r="C126">
        <v>1942</v>
      </c>
      <c r="D126">
        <f t="shared" si="8"/>
        <v>81</v>
      </c>
      <c r="E126">
        <f t="shared" si="6"/>
        <v>0.12425244381873693</v>
      </c>
      <c r="F126">
        <v>64.95</v>
      </c>
      <c r="G126">
        <f t="shared" si="7"/>
        <v>0.16335191788750386</v>
      </c>
    </row>
    <row r="127" spans="2:7" x14ac:dyDescent="0.2">
      <c r="B127">
        <v>1861</v>
      </c>
      <c r="C127">
        <v>1943</v>
      </c>
      <c r="D127">
        <f t="shared" si="8"/>
        <v>82</v>
      </c>
      <c r="E127">
        <f t="shared" si="6"/>
        <v>0.12578642460662257</v>
      </c>
      <c r="F127">
        <v>65.75</v>
      </c>
      <c r="G127">
        <f t="shared" si="7"/>
        <v>0.1633473172026087</v>
      </c>
    </row>
    <row r="128" spans="2:7" x14ac:dyDescent="0.2">
      <c r="B128">
        <v>1861</v>
      </c>
      <c r="C128">
        <v>1944</v>
      </c>
      <c r="D128">
        <f t="shared" si="8"/>
        <v>83</v>
      </c>
      <c r="E128">
        <f t="shared" si="6"/>
        <v>0.12732040539450823</v>
      </c>
      <c r="F128">
        <v>66.55</v>
      </c>
      <c r="G128">
        <f t="shared" si="7"/>
        <v>0.16334282737759048</v>
      </c>
    </row>
    <row r="129" spans="2:7" x14ac:dyDescent="0.2">
      <c r="B129">
        <v>1861</v>
      </c>
      <c r="C129">
        <v>1945</v>
      </c>
      <c r="D129">
        <f t="shared" si="8"/>
        <v>84</v>
      </c>
      <c r="E129">
        <f t="shared" si="6"/>
        <v>0.12885438618239387</v>
      </c>
      <c r="F129">
        <v>67.349999999999994</v>
      </c>
      <c r="G129">
        <f t="shared" si="7"/>
        <v>0.163338444453168</v>
      </c>
    </row>
    <row r="130" spans="2:7" x14ac:dyDescent="0.2">
      <c r="B130">
        <v>1861</v>
      </c>
      <c r="C130">
        <v>1946</v>
      </c>
      <c r="D130">
        <f t="shared" si="8"/>
        <v>85</v>
      </c>
      <c r="E130">
        <f t="shared" si="6"/>
        <v>0.1303883669702795</v>
      </c>
      <c r="F130">
        <v>68.150000000000006</v>
      </c>
      <c r="G130">
        <f t="shared" si="7"/>
        <v>0.16333416465637901</v>
      </c>
    </row>
    <row r="131" spans="2:7" x14ac:dyDescent="0.2">
      <c r="B131">
        <v>1861</v>
      </c>
      <c r="C131">
        <v>1947</v>
      </c>
      <c r="D131">
        <f t="shared" si="8"/>
        <v>86</v>
      </c>
      <c r="E131">
        <f t="shared" si="6"/>
        <v>0.13192234775816514</v>
      </c>
      <c r="F131">
        <v>68.95</v>
      </c>
      <c r="G131">
        <f t="shared" si="7"/>
        <v>0.16332998438974786</v>
      </c>
    </row>
    <row r="132" spans="2:7" x14ac:dyDescent="0.2">
      <c r="B132">
        <v>1861</v>
      </c>
      <c r="C132">
        <v>1948</v>
      </c>
      <c r="D132">
        <f t="shared" si="8"/>
        <v>87</v>
      </c>
      <c r="E132">
        <f t="shared" si="6"/>
        <v>0.13345632854605077</v>
      </c>
      <c r="F132">
        <v>69.745000000000005</v>
      </c>
      <c r="G132">
        <f t="shared" si="7"/>
        <v>0.16331419227136357</v>
      </c>
    </row>
    <row r="133" spans="2:7" x14ac:dyDescent="0.2">
      <c r="B133">
        <v>1861</v>
      </c>
      <c r="C133">
        <v>1949</v>
      </c>
      <c r="D133">
        <f t="shared" si="8"/>
        <v>88</v>
      </c>
      <c r="E133">
        <f t="shared" si="6"/>
        <v>0.13499030933393641</v>
      </c>
      <c r="F133">
        <v>70.55</v>
      </c>
      <c r="G133">
        <f t="shared" si="7"/>
        <v>0.16332190887466499</v>
      </c>
    </row>
    <row r="134" spans="2:7" x14ac:dyDescent="0.2">
      <c r="B134">
        <v>1861</v>
      </c>
      <c r="C134">
        <v>1950</v>
      </c>
      <c r="D134">
        <f t="shared" si="8"/>
        <v>89</v>
      </c>
      <c r="E134">
        <f t="shared" si="6"/>
        <v>0.13652429012182207</v>
      </c>
      <c r="F134">
        <v>71.344999999999999</v>
      </c>
      <c r="G134">
        <f t="shared" si="7"/>
        <v>0.16330656237146998</v>
      </c>
    </row>
    <row r="135" spans="2:7" x14ac:dyDescent="0.2">
      <c r="B135">
        <v>1861</v>
      </c>
      <c r="C135">
        <v>1951</v>
      </c>
      <c r="D135">
        <f t="shared" si="8"/>
        <v>90</v>
      </c>
      <c r="E135">
        <f t="shared" si="6"/>
        <v>0.13805827090970771</v>
      </c>
      <c r="F135">
        <v>72.144999999999996</v>
      </c>
      <c r="G135">
        <f t="shared" si="7"/>
        <v>0.16330287458652143</v>
      </c>
    </row>
    <row r="136" spans="2:7" x14ac:dyDescent="0.2">
      <c r="B136">
        <v>1861</v>
      </c>
      <c r="C136">
        <v>1952</v>
      </c>
      <c r="D136">
        <f t="shared" si="8"/>
        <v>91</v>
      </c>
      <c r="E136">
        <f t="shared" si="6"/>
        <v>0.13959225169759334</v>
      </c>
      <c r="F136">
        <v>72.944999999999993</v>
      </c>
      <c r="G136">
        <f t="shared" si="7"/>
        <v>0.16329926785179155</v>
      </c>
    </row>
    <row r="137" spans="2:7" x14ac:dyDescent="0.2">
      <c r="B137">
        <v>1861</v>
      </c>
      <c r="C137">
        <v>1953</v>
      </c>
      <c r="D137">
        <f t="shared" si="8"/>
        <v>92</v>
      </c>
      <c r="E137">
        <f t="shared" si="6"/>
        <v>0.14112623248547898</v>
      </c>
      <c r="F137">
        <v>73.745000000000005</v>
      </c>
      <c r="G137">
        <f t="shared" si="7"/>
        <v>0.1632957395243384</v>
      </c>
    </row>
    <row r="138" spans="2:7" x14ac:dyDescent="0.2">
      <c r="B138">
        <v>1861</v>
      </c>
      <c r="C138">
        <v>1954</v>
      </c>
      <c r="D138">
        <f t="shared" si="8"/>
        <v>93</v>
      </c>
      <c r="E138">
        <f t="shared" si="6"/>
        <v>0.14266021327336462</v>
      </c>
      <c r="F138">
        <v>74.540000000000006</v>
      </c>
      <c r="G138">
        <f t="shared" si="7"/>
        <v>0.16328133447666071</v>
      </c>
    </row>
    <row r="139" spans="2:7" x14ac:dyDescent="0.2">
      <c r="B139">
        <v>1861</v>
      </c>
      <c r="C139">
        <v>1955</v>
      </c>
      <c r="D139">
        <f t="shared" si="8"/>
        <v>94</v>
      </c>
      <c r="E139">
        <f t="shared" si="6"/>
        <v>0.14419419406125028</v>
      </c>
      <c r="F139">
        <v>75.343000000000004</v>
      </c>
      <c r="G139">
        <f t="shared" si="7"/>
        <v>0.16328457364932999</v>
      </c>
    </row>
    <row r="140" spans="2:7" x14ac:dyDescent="0.2">
      <c r="B140">
        <v>1861</v>
      </c>
      <c r="C140">
        <v>1956</v>
      </c>
      <c r="D140">
        <f t="shared" si="8"/>
        <v>95</v>
      </c>
      <c r="E140">
        <f t="shared" si="6"/>
        <v>0.14572817484913592</v>
      </c>
      <c r="F140">
        <v>76.14</v>
      </c>
      <c r="G140">
        <f t="shared" si="7"/>
        <v>0.16327487820822784</v>
      </c>
    </row>
    <row r="141" spans="2:7" x14ac:dyDescent="0.2">
      <c r="B141">
        <v>1861</v>
      </c>
      <c r="C141">
        <v>1957</v>
      </c>
      <c r="D141">
        <f t="shared" si="8"/>
        <v>96</v>
      </c>
      <c r="E141">
        <f t="shared" si="6"/>
        <v>0.14726215563702155</v>
      </c>
      <c r="F141">
        <v>76.95</v>
      </c>
      <c r="G141">
        <f t="shared" si="7"/>
        <v>0.16329297161228465</v>
      </c>
    </row>
    <row r="142" spans="2:7" x14ac:dyDescent="0.2">
      <c r="B142">
        <v>1861</v>
      </c>
      <c r="C142">
        <v>1958</v>
      </c>
      <c r="D142">
        <f t="shared" si="8"/>
        <v>97</v>
      </c>
      <c r="E142">
        <f t="shared" ref="E142:E145" si="9">ABS((D142/$C$4) * 2 * PI())</f>
        <v>0.14879613642490719</v>
      </c>
      <c r="F142">
        <v>77.739999999999995</v>
      </c>
      <c r="G142">
        <f t="shared" ref="G142:G145" si="10">ABS((F142/100)/($C$12*E142))</f>
        <v>0.16326868817766854</v>
      </c>
    </row>
    <row r="143" spans="2:7" x14ac:dyDescent="0.2">
      <c r="B143">
        <v>1861</v>
      </c>
      <c r="C143">
        <v>1959</v>
      </c>
      <c r="D143">
        <f t="shared" si="8"/>
        <v>98</v>
      </c>
      <c r="E143">
        <f t="shared" si="9"/>
        <v>0.15033011721279282</v>
      </c>
      <c r="F143">
        <v>78.540000000000006</v>
      </c>
      <c r="G143">
        <f t="shared" si="10"/>
        <v>0.16326568790775461</v>
      </c>
    </row>
    <row r="144" spans="2:7" x14ac:dyDescent="0.2">
      <c r="B144">
        <v>1861</v>
      </c>
      <c r="C144">
        <v>1960</v>
      </c>
      <c r="D144">
        <f t="shared" si="8"/>
        <v>99</v>
      </c>
      <c r="E144">
        <f t="shared" si="9"/>
        <v>0.15186409800067849</v>
      </c>
      <c r="F144">
        <v>79.343000000000004</v>
      </c>
      <c r="G144">
        <f t="shared" si="10"/>
        <v>0.16326892153199518</v>
      </c>
    </row>
    <row r="145" spans="2:7" x14ac:dyDescent="0.2">
      <c r="B145">
        <v>1861</v>
      </c>
      <c r="C145">
        <v>1961</v>
      </c>
      <c r="D145">
        <f t="shared" ref="D145" si="11">C145-B145</f>
        <v>100</v>
      </c>
      <c r="E145">
        <f t="shared" si="9"/>
        <v>0.15339807878856412</v>
      </c>
      <c r="F145">
        <v>80.135000000000005</v>
      </c>
      <c r="G145">
        <f t="shared" si="10"/>
        <v>0.16324968146776361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ECB0-60D1-8943-AA72-37B96234E89F}">
  <dimension ref="A3:I40"/>
  <sheetViews>
    <sheetView topLeftCell="A16" zoomScale="150" zoomScaleNormal="150" workbookViewId="0">
      <selection activeCell="B40" sqref="B40"/>
    </sheetView>
  </sheetViews>
  <sheetFormatPr baseColWidth="10" defaultRowHeight="16" x14ac:dyDescent="0.2"/>
  <cols>
    <col min="1" max="1" width="15.83203125" customWidth="1"/>
    <col min="2" max="2" width="20.6640625" customWidth="1"/>
  </cols>
  <sheetData>
    <row r="3" spans="1:2" x14ac:dyDescent="0.2">
      <c r="B3" t="s">
        <v>38</v>
      </c>
    </row>
    <row r="5" spans="1:2" x14ac:dyDescent="0.2">
      <c r="B5" t="s">
        <v>39</v>
      </c>
    </row>
    <row r="6" spans="1:2" x14ac:dyDescent="0.2">
      <c r="B6" t="s">
        <v>40</v>
      </c>
    </row>
    <row r="7" spans="1:2" x14ac:dyDescent="0.2">
      <c r="B7" t="s">
        <v>41</v>
      </c>
    </row>
    <row r="8" spans="1:2" x14ac:dyDescent="0.2">
      <c r="B8" t="s">
        <v>42</v>
      </c>
    </row>
    <row r="10" spans="1:2" x14ac:dyDescent="0.2">
      <c r="A10" t="s">
        <v>47</v>
      </c>
    </row>
    <row r="11" spans="1:2" x14ac:dyDescent="0.2">
      <c r="A11" t="s">
        <v>49</v>
      </c>
      <c r="B11">
        <v>6</v>
      </c>
    </row>
    <row r="12" spans="1:2" x14ac:dyDescent="0.2">
      <c r="A12" t="s">
        <v>50</v>
      </c>
      <c r="B12" t="s">
        <v>51</v>
      </c>
    </row>
    <row r="13" spans="1:2" x14ac:dyDescent="0.2">
      <c r="A13" t="s">
        <v>52</v>
      </c>
      <c r="B13" t="s">
        <v>48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56</v>
      </c>
    </row>
    <row r="16" spans="1:2" x14ac:dyDescent="0.2">
      <c r="A16" t="s">
        <v>43</v>
      </c>
      <c r="B16" t="s">
        <v>44</v>
      </c>
    </row>
    <row r="19" spans="1:5" x14ac:dyDescent="0.2">
      <c r="A19" t="s">
        <v>46</v>
      </c>
      <c r="B19">
        <v>1543</v>
      </c>
      <c r="D19" t="s">
        <v>61</v>
      </c>
    </row>
    <row r="20" spans="1:5" x14ac:dyDescent="0.2">
      <c r="A20" t="s">
        <v>45</v>
      </c>
      <c r="B20">
        <v>0.188004764566405</v>
      </c>
    </row>
    <row r="21" spans="1:5" x14ac:dyDescent="0.2">
      <c r="A21" t="s">
        <v>57</v>
      </c>
      <c r="B21">
        <v>5000</v>
      </c>
    </row>
    <row r="22" spans="1:5" x14ac:dyDescent="0.2">
      <c r="A22" t="s">
        <v>58</v>
      </c>
      <c r="B22">
        <v>2.5</v>
      </c>
    </row>
    <row r="23" spans="1:5" x14ac:dyDescent="0.2">
      <c r="A23" t="s">
        <v>59</v>
      </c>
      <c r="B23">
        <v>10</v>
      </c>
    </row>
    <row r="24" spans="1:5" x14ac:dyDescent="0.2">
      <c r="A24" t="s">
        <v>60</v>
      </c>
      <c r="B24">
        <v>3.9289999999999999E-2</v>
      </c>
    </row>
    <row r="26" spans="1:5" ht="17" thickBot="1" x14ac:dyDescent="0.25">
      <c r="A26" s="11"/>
      <c r="B26" s="11"/>
      <c r="C26" s="11"/>
      <c r="D26" s="11"/>
      <c r="E26" s="11"/>
    </row>
    <row r="27" spans="1:5" x14ac:dyDescent="0.2">
      <c r="A27" t="s">
        <v>46</v>
      </c>
      <c r="B27">
        <v>1325</v>
      </c>
    </row>
    <row r="28" spans="1:5" x14ac:dyDescent="0.2">
      <c r="A28" t="s">
        <v>45</v>
      </c>
      <c r="B28">
        <v>0.19029474228649701</v>
      </c>
      <c r="D28" t="s">
        <v>62</v>
      </c>
    </row>
    <row r="29" spans="1:5" x14ac:dyDescent="0.2">
      <c r="A29" t="s">
        <v>57</v>
      </c>
      <c r="B29">
        <v>5000</v>
      </c>
    </row>
    <row r="30" spans="1:5" x14ac:dyDescent="0.2">
      <c r="A30" t="s">
        <v>58</v>
      </c>
      <c r="B30">
        <v>2.5</v>
      </c>
    </row>
    <row r="31" spans="1:5" x14ac:dyDescent="0.2">
      <c r="A31" t="s">
        <v>59</v>
      </c>
      <c r="B31">
        <v>10</v>
      </c>
    </row>
    <row r="32" spans="1:5" x14ac:dyDescent="0.2">
      <c r="A32" t="s">
        <v>60</v>
      </c>
      <c r="B32">
        <v>3.9598546017240902E-2</v>
      </c>
    </row>
    <row r="34" spans="1:9" ht="17" thickBot="1" x14ac:dyDescent="0.25">
      <c r="A34" s="11"/>
      <c r="B34" s="11"/>
      <c r="C34" s="11"/>
      <c r="D34" s="11"/>
      <c r="I34" t="s">
        <v>63</v>
      </c>
    </row>
    <row r="35" spans="1:9" x14ac:dyDescent="0.2">
      <c r="A35" t="s">
        <v>46</v>
      </c>
      <c r="B35">
        <v>1323</v>
      </c>
    </row>
    <row r="36" spans="1:9" x14ac:dyDescent="0.2">
      <c r="A36" t="s">
        <v>45</v>
      </c>
      <c r="D36" t="s">
        <v>64</v>
      </c>
    </row>
    <row r="37" spans="1:9" x14ac:dyDescent="0.2">
      <c r="A37" t="s">
        <v>57</v>
      </c>
      <c r="B37">
        <v>5000</v>
      </c>
    </row>
    <row r="38" spans="1:9" x14ac:dyDescent="0.2">
      <c r="A38" t="s">
        <v>58</v>
      </c>
    </row>
    <row r="39" spans="1:9" x14ac:dyDescent="0.2">
      <c r="A39" t="s">
        <v>59</v>
      </c>
    </row>
    <row r="40" spans="1:9" x14ac:dyDescent="0.2">
      <c r="A40" t="s"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6A64-4624-7445-B5D5-C35F62245523}">
  <dimension ref="A3:E73"/>
  <sheetViews>
    <sheetView topLeftCell="A43" zoomScale="150" zoomScaleNormal="150" workbookViewId="0">
      <selection activeCell="E75" sqref="E75"/>
    </sheetView>
  </sheetViews>
  <sheetFormatPr baseColWidth="10" defaultRowHeight="16" x14ac:dyDescent="0.2"/>
  <cols>
    <col min="1" max="1" width="15.83203125" customWidth="1"/>
    <col min="2" max="2" width="20.6640625" customWidth="1"/>
  </cols>
  <sheetData>
    <row r="3" spans="1:2" x14ac:dyDescent="0.2">
      <c r="B3" t="s">
        <v>65</v>
      </c>
    </row>
    <row r="4" spans="1:2" x14ac:dyDescent="0.2">
      <c r="B4" t="s">
        <v>66</v>
      </c>
    </row>
    <row r="10" spans="1:2" x14ac:dyDescent="0.2">
      <c r="A10" t="s">
        <v>47</v>
      </c>
    </row>
    <row r="11" spans="1:2" x14ac:dyDescent="0.2">
      <c r="A11" t="s">
        <v>49</v>
      </c>
      <c r="B11">
        <v>6</v>
      </c>
    </row>
    <row r="12" spans="1:2" x14ac:dyDescent="0.2">
      <c r="A12" t="s">
        <v>50</v>
      </c>
      <c r="B12" t="s">
        <v>51</v>
      </c>
    </row>
    <row r="13" spans="1:2" x14ac:dyDescent="0.2">
      <c r="A13" t="s">
        <v>52</v>
      </c>
      <c r="B13" t="s">
        <v>48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56</v>
      </c>
    </row>
    <row r="16" spans="1:2" x14ac:dyDescent="0.2">
      <c r="A16" t="s">
        <v>43</v>
      </c>
      <c r="B16" t="s">
        <v>44</v>
      </c>
    </row>
    <row r="18" spans="1:5" ht="17" thickBot="1" x14ac:dyDescent="0.25">
      <c r="A18" s="11"/>
      <c r="B18" s="11"/>
      <c r="C18" s="11"/>
      <c r="D18" s="11"/>
      <c r="E18" s="11"/>
    </row>
    <row r="19" spans="1:5" x14ac:dyDescent="0.2">
      <c r="A19" t="s">
        <v>46</v>
      </c>
      <c r="B19">
        <v>1541</v>
      </c>
      <c r="D19" t="s">
        <v>67</v>
      </c>
    </row>
    <row r="20" spans="1:5" x14ac:dyDescent="0.2">
      <c r="A20" t="s">
        <v>45</v>
      </c>
      <c r="B20">
        <v>0.188567022748614</v>
      </c>
    </row>
    <row r="21" spans="1:5" x14ac:dyDescent="0.2">
      <c r="A21" t="s">
        <v>57</v>
      </c>
      <c r="B21">
        <v>5000</v>
      </c>
    </row>
    <row r="22" spans="1:5" x14ac:dyDescent="0.2">
      <c r="A22" t="s">
        <v>58</v>
      </c>
    </row>
    <row r="23" spans="1:5" x14ac:dyDescent="0.2">
      <c r="A23" t="s">
        <v>59</v>
      </c>
    </row>
    <row r="24" spans="1:5" x14ac:dyDescent="0.2">
      <c r="A24" t="s">
        <v>60</v>
      </c>
    </row>
    <row r="26" spans="1:5" ht="17" thickBot="1" x14ac:dyDescent="0.25">
      <c r="A26" s="11"/>
      <c r="B26" s="11"/>
      <c r="C26" s="11"/>
      <c r="D26" s="11"/>
      <c r="E26" s="11"/>
    </row>
    <row r="27" spans="1:5" x14ac:dyDescent="0.2">
      <c r="A27" t="s">
        <v>46</v>
      </c>
      <c r="B27">
        <v>1539</v>
      </c>
    </row>
    <row r="28" spans="1:5" x14ac:dyDescent="0.2">
      <c r="A28" t="s">
        <v>45</v>
      </c>
      <c r="B28">
        <v>0.188303012640329</v>
      </c>
      <c r="D28" t="s">
        <v>68</v>
      </c>
    </row>
    <row r="29" spans="1:5" x14ac:dyDescent="0.2">
      <c r="A29" t="s">
        <v>57</v>
      </c>
      <c r="B29">
        <v>5000</v>
      </c>
    </row>
    <row r="30" spans="1:5" x14ac:dyDescent="0.2">
      <c r="A30" t="s">
        <v>58</v>
      </c>
    </row>
    <row r="31" spans="1:5" x14ac:dyDescent="0.2">
      <c r="A31" t="s">
        <v>59</v>
      </c>
    </row>
    <row r="32" spans="1:5" x14ac:dyDescent="0.2">
      <c r="A32" t="s">
        <v>60</v>
      </c>
    </row>
    <row r="34" spans="1:4" ht="17" thickBot="1" x14ac:dyDescent="0.25">
      <c r="A34" s="11"/>
      <c r="B34" s="11"/>
      <c r="C34" s="11"/>
      <c r="D34" s="11"/>
    </row>
    <row r="35" spans="1:4" x14ac:dyDescent="0.2">
      <c r="A35" t="s">
        <v>46</v>
      </c>
      <c r="B35">
        <v>1539</v>
      </c>
      <c r="D35" t="s">
        <v>70</v>
      </c>
    </row>
    <row r="36" spans="1:4" x14ac:dyDescent="0.2">
      <c r="A36" t="s">
        <v>45</v>
      </c>
      <c r="B36">
        <v>0.18833238062542201</v>
      </c>
    </row>
    <row r="37" spans="1:4" x14ac:dyDescent="0.2">
      <c r="A37" t="s">
        <v>57</v>
      </c>
      <c r="B37">
        <v>5000</v>
      </c>
    </row>
    <row r="38" spans="1:4" x14ac:dyDescent="0.2">
      <c r="A38" t="s">
        <v>58</v>
      </c>
    </row>
    <row r="39" spans="1:4" x14ac:dyDescent="0.2">
      <c r="A39" t="s">
        <v>59</v>
      </c>
    </row>
    <row r="40" spans="1:4" x14ac:dyDescent="0.2">
      <c r="A40" t="s">
        <v>60</v>
      </c>
    </row>
    <row r="42" spans="1:4" ht="17" thickBot="1" x14ac:dyDescent="0.25">
      <c r="A42" s="11"/>
      <c r="B42" s="11"/>
      <c r="C42" s="11"/>
      <c r="D42" s="11"/>
    </row>
    <row r="43" spans="1:4" x14ac:dyDescent="0.2">
      <c r="A43" t="s">
        <v>46</v>
      </c>
      <c r="B43">
        <v>1539</v>
      </c>
      <c r="D43" t="s">
        <v>71</v>
      </c>
    </row>
    <row r="44" spans="1:4" x14ac:dyDescent="0.2">
      <c r="A44" t="s">
        <v>45</v>
      </c>
      <c r="B44">
        <v>0.18833238062542201</v>
      </c>
    </row>
    <row r="45" spans="1:4" x14ac:dyDescent="0.2">
      <c r="A45" t="s">
        <v>57</v>
      </c>
      <c r="B45">
        <v>5000</v>
      </c>
    </row>
    <row r="46" spans="1:4" x14ac:dyDescent="0.2">
      <c r="A46" t="s">
        <v>58</v>
      </c>
    </row>
    <row r="47" spans="1:4" x14ac:dyDescent="0.2">
      <c r="A47" t="s">
        <v>59</v>
      </c>
    </row>
    <row r="48" spans="1:4" x14ac:dyDescent="0.2">
      <c r="A48" t="s">
        <v>60</v>
      </c>
    </row>
    <row r="50" spans="1:4" ht="17" thickBot="1" x14ac:dyDescent="0.25">
      <c r="A50" s="11"/>
      <c r="B50" s="11"/>
      <c r="C50" s="11"/>
      <c r="D50" s="11"/>
    </row>
    <row r="51" spans="1:4" x14ac:dyDescent="0.2">
      <c r="A51" t="s">
        <v>46</v>
      </c>
      <c r="B51">
        <v>1539</v>
      </c>
      <c r="D51" t="s">
        <v>72</v>
      </c>
    </row>
    <row r="52" spans="1:4" x14ac:dyDescent="0.2">
      <c r="A52" t="s">
        <v>45</v>
      </c>
      <c r="B52">
        <v>0.18825503562827001</v>
      </c>
    </row>
    <row r="53" spans="1:4" x14ac:dyDescent="0.2">
      <c r="A53" t="s">
        <v>57</v>
      </c>
      <c r="B53">
        <v>5000</v>
      </c>
    </row>
    <row r="54" spans="1:4" x14ac:dyDescent="0.2">
      <c r="A54" t="s">
        <v>58</v>
      </c>
    </row>
    <row r="55" spans="1:4" x14ac:dyDescent="0.2">
      <c r="A55" t="s">
        <v>59</v>
      </c>
    </row>
    <row r="56" spans="1:4" x14ac:dyDescent="0.2">
      <c r="A56" t="s">
        <v>60</v>
      </c>
    </row>
    <row r="58" spans="1:4" ht="17" thickBot="1" x14ac:dyDescent="0.25">
      <c r="A58" s="11"/>
      <c r="B58" s="11"/>
      <c r="C58" s="11"/>
      <c r="D58" s="11"/>
    </row>
    <row r="59" spans="1:4" x14ac:dyDescent="0.2">
      <c r="A59" t="s">
        <v>46</v>
      </c>
      <c r="B59">
        <v>1259</v>
      </c>
      <c r="D59" t="s">
        <v>73</v>
      </c>
    </row>
    <row r="60" spans="1:4" x14ac:dyDescent="0.2">
      <c r="A60" t="s">
        <v>45</v>
      </c>
      <c r="B60">
        <v>0.15606123271033401</v>
      </c>
      <c r="D60" t="s">
        <v>74</v>
      </c>
    </row>
    <row r="61" spans="1:4" x14ac:dyDescent="0.2">
      <c r="A61" t="s">
        <v>57</v>
      </c>
    </row>
    <row r="62" spans="1:4" x14ac:dyDescent="0.2">
      <c r="A62" t="s">
        <v>58</v>
      </c>
    </row>
    <row r="63" spans="1:4" x14ac:dyDescent="0.2">
      <c r="A63" t="s">
        <v>59</v>
      </c>
    </row>
    <row r="64" spans="1:4" x14ac:dyDescent="0.2">
      <c r="A64" t="s">
        <v>60</v>
      </c>
    </row>
    <row r="67" spans="1:4" ht="17" thickBot="1" x14ac:dyDescent="0.25">
      <c r="A67" s="11"/>
      <c r="B67" s="11"/>
      <c r="C67" s="11"/>
      <c r="D67" s="11"/>
    </row>
    <row r="68" spans="1:4" x14ac:dyDescent="0.2">
      <c r="A68" t="s">
        <v>46</v>
      </c>
      <c r="B68">
        <v>1259</v>
      </c>
      <c r="D68" t="s">
        <v>75</v>
      </c>
    </row>
    <row r="69" spans="1:4" x14ac:dyDescent="0.2">
      <c r="A69" t="s">
        <v>45</v>
      </c>
      <c r="B69">
        <v>0.155184719263222</v>
      </c>
    </row>
    <row r="70" spans="1:4" x14ac:dyDescent="0.2">
      <c r="A70" t="s">
        <v>57</v>
      </c>
    </row>
    <row r="71" spans="1:4" x14ac:dyDescent="0.2">
      <c r="A71" t="s">
        <v>58</v>
      </c>
    </row>
    <row r="72" spans="1:4" x14ac:dyDescent="0.2">
      <c r="A72" t="s">
        <v>59</v>
      </c>
    </row>
    <row r="73" spans="1:4" x14ac:dyDescent="0.2">
      <c r="A73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 Characterization</vt:lpstr>
      <vt:lpstr>Dataset Inspection Pendulum BAM</vt:lpstr>
      <vt:lpstr>Dataset No Interpolation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Carlson</dc:creator>
  <cp:lastModifiedBy>Scott Carlson</cp:lastModifiedBy>
  <dcterms:created xsi:type="dcterms:W3CDTF">2025-03-09T03:57:26Z</dcterms:created>
  <dcterms:modified xsi:type="dcterms:W3CDTF">2025-03-29T20:22:27Z</dcterms:modified>
</cp:coreProperties>
</file>